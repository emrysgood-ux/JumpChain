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Drives" sheetId="1" r:id="rId4"/>
    <sheet state="visible" name="AppScript" sheetId="2" r:id="rId5"/>
    <sheet state="visible" name="FolderIDs" sheetId="3" r:id="rId6"/>
    <sheet state="visible" name="New Uploads" sheetId="4" r:id="rId7"/>
    <sheet state="visible" name="Jumps" sheetId="5" r:id="rId8"/>
    <sheet state="visible" name="Gauntlets" sheetId="6" r:id="rId9"/>
    <sheet state="visible" name="Supplements" sheetId="7" r:id="rId10"/>
  </sheets>
  <definedNames/>
  <calcPr/>
</workbook>
</file>

<file path=xl/sharedStrings.xml><?xml version="1.0" encoding="utf-8"?>
<sst xmlns="http://schemas.openxmlformats.org/spreadsheetml/2006/main" count="782" uniqueCount="35">
  <si>
    <t>DriveAnon's 4chan Drive</t>
  </si>
  <si>
    <t>QQ Drive</t>
  </si>
  <si>
    <t>Reddit Jumpchain Drive</t>
  </si>
  <si>
    <t>SB Drive</t>
  </si>
  <si>
    <t>&gt; How does it work?</t>
  </si>
  <si>
    <t>This tool crawls all the links found in the sheet "MainDrives" and starts finding subfolders and jump documents. To use it, you must go to Tools &gt; Script Editor. This will open Apps Scripts, where you can copy the code below and run the hardReset() and continueScan() functions. These functions will most likely fail if it takes too long. If this happens, you'll have to call continueScan() again to continue the process. If everything is fine, you'll see a bunch of completed folders being skipped.</t>
  </si>
  <si>
    <t>&gt; Okay but how do I use it?</t>
  </si>
  <si>
    <t>Make a copy of this document and use the above instructions.</t>
  </si>
  <si>
    <t>&gt; How do I get rid of duplicates?</t>
  </si>
  <si>
    <t>Duplicates found in the list are probably a result of a duplicate files. Potentially, these could be completely different jumps that just so happen to share the same filename. You could use Data &gt; Remove Duplicates to get rid of them but you can't guarantee that you'll keep the correct version.</t>
  </si>
  <si>
    <t>&gt; Links are broken, fix them</t>
  </si>
  <si>
    <t>No, the whole point of this tool is automating file links. Links get broken as authors remove their files from the drives. As long as jump authors and drive administrators use google drive versioning this won't be a problem. But it probably will, because Google Drive is hard, and shared folders are clunky.</t>
  </si>
  <si>
    <t>&gt;Then how do I fix the broken links?</t>
  </si>
  <si>
    <t>Run either the function softReset() or hardReset() and start over from the begginning. Remember to run continueScan() again whenever the application it runs out of time.</t>
  </si>
  <si>
    <t>&gt;Help! I get the following exception: "No item with the given ID could be found. Possibly because you have not edited this item or you do not have permission to access it."</t>
  </si>
  <si>
    <t>At first glance, this happens when you try to crawl a folder that you don't have permission to do so. However the more common cause of this is trying to crawl a folder that has been removed, or a hyperlink that is dead/broken. If this happens while trying running a softReset() consider doing a hardReset() instead or run scanDrives() to update the FolderID links. This can also happen during a hardReset() if a MainDrive link is broken or the shared folder has changed permissions.</t>
  </si>
  <si>
    <t>&gt;What's the difference between softReset() and hardReset()?</t>
  </si>
  <si>
    <t>A soft reset preserves your FolderIDs sheet, which can be useful if you've blacklisted certain folders from being updated. To blacklist multiple folders, simply find the relevant rows in "FolderIDs" and delete them, then run softReset() and continueScan() until you finish the process. A hard reset deletes "FolderIDs", so you'll have to manually blacklist entries every time you run a hardReset().</t>
  </si>
  <si>
    <t>&gt;Wouldn't that make FolderIDs a whitelist instead of a blacklist?</t>
  </si>
  <si>
    <t>Well yes. Also whitelists are easier to implement than blacklists and are faster.</t>
  </si>
  <si>
    <t>&gt;How do I update the list?</t>
  </si>
  <si>
    <t>If you only want to update the "New Uploads" sheet you can run scanRecentlyUpdated(). You can't really do this for the rest of the "Jumps" because there's just so many of them, but you could make the code work for "Gauntlets" and "Supplements" easily. If you want to update all of th jumps you must run the function softReset() or hardReset() and start over from the begginning. Remember to run continueScan() again whenever the application it runs out of time.</t>
  </si>
  <si>
    <t>&gt; What if I don't want to see some drives? Or what if I want to add a new drive?</t>
  </si>
  <si>
    <t>If it's drives, either delete or add a new entry in the "MainDrives" sheet, then run either a hardReset(), or run scanDrives() + softReset(). When adding a new entry, this new entry needs to have a working hyperlink to the google drive that you can access. If you use scanDrives(), you can edit the list generated in FolderIDs and delete any rows you want to skip before running a softReset().</t>
  </si>
  <si>
    <t>&gt;Can I format this to make it prettier?</t>
  </si>
  <si>
    <t>Sure, just remember that hardReset() and softReset() deletes the "Jumps", "New Uploads", "Supplements" and "Gauntlet" sheets. You can make your own list viewer by making a new sheet and use formulas and queries to populate the list.</t>
  </si>
  <si>
    <t>&gt;I Like Your Funny Words Magic Man</t>
  </si>
  <si>
    <t>Yeah, yeah. Here's the code.</t>
  </si>
  <si>
    <t>LAST EDITED: 5/4/2022</t>
  </si>
  <si>
    <t>//Get all jumps from a list of shared folders. If this operation fails from taking to long, run the tool again. 
function continueScan() {
  var activeSpreadsheet = SpreadsheetApp.getActiveSpreadsheet();
  var startTime = (new Date()).getTime();
  var currentTime = (new Date()).getTime();
  var folderSheet = activeSpreadsheet.getSheetByName("FolderIDs"); 
  var data = folderSheet.getRange(1,1,folderSheet.getLastRow(),3).getRichTextValues();
  data.forEach(function(row, index) {
    if (row[2].getText() != "x"){
      findFiles(row[0].getText(),row[0].getLinkUrl(),row[1].getText())
      folderSheet.getRange(index+1, 2+1).setValue('x');
      currentTime = (new Date()).getTime();
      // Stop before we hit the time limit
      if ((currentTime - startTime) &gt;= 240000){
        throw "Time limit reached. Please run continueScan() again.";
      }
    }
    else {
      Logger.log("Skipping: " + row[0].getText());   
    }
  });
  Logger.log("Complete!");   
};
//Get all New Updated jumps from a list of shared folders.
function scanRecentlyUpdated() {
  var activeSpreadsheet = SpreadsheetApp.getActiveSpreadsheet();
  //Delete existing sheet for New Uploads
  var sheet = activeSpreadsheet.getSheetByName("New Uploads");
  if (sheet != null) {
        Logger.log("Deleting: " + sheet.getName());  
        sheet.clear();
  }
  var folderSheet = activeSpreadsheet.getSheetByName("FolderIDs"); 
  var data = folderSheet.getRange(1,1,folderSheet.getLastRow(),3).getRichTextValues();
  data.forEach(function(row, index) {
    if (row[1].getText() == "New Uploads"){
      findFiles(row[0].getText(),row[0].getLinkUrl(),row[1].getText())
      Logger.log("Updating: " + row[0].getText());
      folderSheet.getRange(index+1, 2+1).setValue('x');
    }
  });
  Logger.log("Complete!");   
};
//Get all sub-folders from a list of shared folders. Useful if you want to update MainDrives before blacklisting something and running a softReset()
function scanDrives() {
  var activeSpreadsheet = SpreadsheetApp.getActiveSpreadsheet();
  // Generate a list of Folders to iterate over
  var folderSheet = activeSpreadsheet.getSheetByName("MainDrives"); 
  var data = folderSheet.getDataRange().getRichTextValues();
  //Delete existing Folders
  var sheet = activeSpreadsheet.getSheetByName("FolderIDs");
  if (sheet != null) {
        Logger.log("Deleting: " + sheet.getName());  
        sheet.clear();
  }
  data.forEach(function(row) {
    findSubFolders(row[0].getText(),row[0].getLinkUrl(),"FolderIDs")
  });
};
//Start over, but without deleting FolderIDs. This operation can be useful if you have blacklisted folders from FolderIDs.
function softReset() {
  var activeSpreadsheet = SpreadsheetApp.getActiveSpreadsheet();
  //Delete existing entries
  var sheet = activeSpreadsheet.getSheetByName("New Uploads");
  if (sheet != null) {
        Logger.log("Deleting: " + sheet.getName());  
        sheet.clear();
  }
  sheet = activeSpreadsheet.getSheetByName("Supplements");
  if (sheet != null) {
        Logger.log("Deleting: " + sheet.getName());  
        sheet.clear();
  } 
  sheet = activeSpreadsheet.getSheetByName("Gauntlets");
  if (sheet != null) {
        Logger.log("Deleting: " + sheet.getName());  
        sheet.clear();
  } 
  sheet = activeSpreadsheet.getSheetByName("Jumps");
  if (sheet != null) {
        Logger.log("Deleting: " + sheet.getName());  
        sheet.clear();
  } 
  sheet = activeSpreadsheet.getSheetByName("FolderIDs");
  sheet.deleteColumn(3);
  continueScan();
};
//Start over. If this operation fails from taking too long (and it will fail), run continueScan() instead, DON'T run hardReset() or you'll start over.
function hardReset() {
  var activeSpreadsheet = SpreadsheetApp.getActiveSpreadsheet();
  //Delete existing FolderIDs, repopulate list
  scanDrives();
  //Delete existing sheets
  var sheet = activeSpreadsheet.getSheetByName("New Uploads");
  if (sheet != null) {
        Logger.log("Deleting: " + sheet.getName());  
        sheet.clear();
  }
  sheet = activeSpreadsheet.getSheetByName("Supplements");
  if (sheet != null) {
        Logger.log("Deleting: " + sheet.getName());  
        sheet.clear();
  } 
  sheet = activeSpreadsheet.getSheetByName("Gauntlets");
  if (sheet != null) {
        Logger.log("Deleting: " + sheet.getName());  
        sheet.clear();
  } 
  sheet = activeSpreadsheet.getSheetByName("Jumps");
  if (sheet != null) {
        Logger.log("Deleting: " + sheet.getName());  
        sheet.clear();
  } 
  //Start continueScan
  continueScan();
};
//Recursive function, crawls all folders to find the subfolders inside them
function findSubFolders(folderName,folderURL,subSheet) {
    //var folderURL = url.getLinkUrl();
    //var folderName = url.getText();
    if (folderURL == null){
      Logger.log("Skipping: " + folderName);
      return
    }
    //Logger.log("Parsing: " + folderName + " with url link = "+folderURL);
    var folderID = getIdFromUrl(folderURL);
    //Logger.log("FolderID: " + folderID);
    var activeSpreadsheet = SpreadsheetApp.getActiveSpreadsheet();
    //Delete Old Sheet
    var yourNewSheet = activeSpreadsheet.getSheetByName(subSheet);
    if (yourNewSheet == null) {
      yourNewSheet = activeSpreadsheet.insertSheet();
      yourNewSheet.setName(subSheet);
      yourNewSheet.setColumnWidth(1, 500);
      Logger.log("Created: " + subSheet);
    }
    // Populate Folders
    var folder = DriveApp.getFolderById(folderID);
    var contents = folder.getFolders();
    var subFolder;
    var name;
    var link;
    var jumpType;
    while(contents.hasNext()) {
      subFolder = contents.next();
      name = folderName+"/"+subFolder.getName();
      link = subFolder.getUrl();
      jumpType = "Jumps";
      if (name.toLowerCase().includes("gauntlet")) { jumpType = "Gauntlets"; }
      if (name.toLowerCase().includes("supplement")) { jumpType = "Supplements"; }
      if (name.toLowerCase().includes("upload")) { jumpType = "New Uploads"; }
      yourNewSheet.appendRow( ["=HYPERLINK(\""+link+"\";\""+name+"\")",jumpType] ); 
      findSubFolders(name,link,subSheet);
  }  
}
//Crawls all subfolders to find loose files
function findFiles(folderName,folderURL, subSheet) {
    if (folderURL == null){
      Logger.log("Skipping: " + folderName);
      return
    }
    // Create New Sheet
    //Logger.log("Parsing: " + folderName + " with url link = "+folderURL);
    var folderID = getIdFromUrl(folderURL);
    //Logger.log("FolderID: " + folderID);
    var activeSpreadsheet = SpreadsheetApp.getActiveSpreadsheet();
    var yourNewSheet = activeSpreadsheet.getSheetByName(subSheet);
    if (yourNewSheet == null) {
      yourNewSheet = activeSpreadsheet.insertSheet();
      yourNewSheet.setName(subSheet);
      Logger.log("Created: " + subSheet);
      yourNewSheet.setColumnWidth(1, 500);
    }
    // Populate Files
    var folder = DriveApp.getFolderById(folderID);
    var contents = folder.getFiles();
    var file;
    var name;
    var link;
    while(contents.hasNext()) {
      file = contents.next();
      name = file.getName();
      link = file.getUrl();
      yourNewSheet.appendRow( ["=HYPERLINK(\""+link+"\";\""+name+"\")","=HYPERLINK(\""+folderURL+"\";\""+folderName+"\")"] );
  }  
}
//Gets the folderID from an URL, useful for shared folders
function getIdFromUrl(url) {
  var id = "";
  var parts = url.split(/^(([^:\/?#]+):)?(\/\/([^\/?#]*))?([^?#]*)(\?([^#]*))?(#(.*))?/);
  if (url.indexOf('?id=') &gt;= 0){
     id = (parts[6].split("=")[1]).replace("&amp;usp","");
     return id;
   } else {
   id = parts[5].split("/");
   //Using sort to get the id as it is the longest element. 
   var sortArr = id.sort(function(a,b){return b.length - a.length});
   id = sortArr[0];
   return id;
   }
 }</t>
  </si>
  <si>
    <t>New Uploads</t>
  </si>
  <si>
    <t>x</t>
  </si>
  <si>
    <t>Jumps</t>
  </si>
  <si>
    <t>Supplements</t>
  </si>
  <si>
    <t>Gauntlets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</si>
</sst>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u/>
      <color rgb="FF1155CC"/>
    </font>
    <font>
      <b/>
      <color theme="1"/>
      <name val="Arial"/>
      <scheme val="minor"/>
    </font>
    <font>
      <color theme="1"/>
      <name val="Arial"/>
      <scheme val="minor"/>
    </font>
    <font>
      <color rgb="FF3C4043"/>
      <name val="&quot;Roboto Mono&quot;"/>
    </font>
    <font>
      <color rgb="FF5F6368"/>
      <name val="&quot;Roboto Mono&quot;"/>
    </font>
    <font>
      <color rgb="FF185ABC"/>
      <name val="&quot;Roboto Mono&quot;"/>
    </font>
    <font>
      <u/>
      <color rgb="FF0000FF"/>
    </font>
  </fonts>
  <fills count="3">
    <fill>
      <patternFill patternType="none"/>
    </fill>
    <fill>
      <patternFill patternType="lightGray"/>
    </fill>
    <fill>
      <patternFill patternType="solid">
        <fgColor rgb="FFFFFFFE"/>
        <bgColor rgb="FFFFFFFE"/>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readingOrder="0" shrinkToFit="0" wrapText="1"/>
    </xf>
    <xf borderId="0" fillId="2" fontId="4" numFmtId="0" xfId="0" applyAlignment="1" applyFill="1" applyFont="1">
      <alignment readingOrder="0"/>
    </xf>
    <xf borderId="0" fillId="2" fontId="4" numFmtId="0" xfId="0" applyFont="1"/>
    <xf borderId="0" fillId="2" fontId="5" numFmtId="0" xfId="0" applyAlignment="1" applyFont="1">
      <alignment readingOrder="0"/>
    </xf>
    <xf borderId="0" fillId="2" fontId="5" numFmtId="0" xfId="0" applyFont="1"/>
    <xf borderId="0" fillId="2" fontId="6" numFmtId="0" xfId="0" applyAlignment="1" applyFont="1">
      <alignment readingOrder="0"/>
    </xf>
    <xf borderId="0" fillId="2" fontId="4"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Cx7KoDkQa9qmDfJN9_CehZ0fxXEweKOu?usp=sharing" TargetMode="External"/><Relationship Id="rId2" Type="http://schemas.openxmlformats.org/officeDocument/2006/relationships/hyperlink" Target="https://drive.google.com/drive/folders/0By8NY-NO4-N5VlNqZWxxakJtVjg?resourcekey=0-AMm_C8DhQLJHHZ5Nt09NtQ&amp;usp=sharing" TargetMode="External"/><Relationship Id="rId3" Type="http://schemas.openxmlformats.org/officeDocument/2006/relationships/hyperlink" Target="https://drive.google.com/drive/folders/1KxTXeHrbttL4G1lugsQdTd1CjktBmBwd?usp=sharing" TargetMode="External"/><Relationship Id="rId4" Type="http://schemas.openxmlformats.org/officeDocument/2006/relationships/hyperlink" Target="https://drive.google.com/drive/folders/0By8NY-NO4-N5NUoxNzcxakZmd0E?resourcekey=0-FjB8xfxUCa0-R41gF-y_AA&amp;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3.38"/>
  </cols>
  <sheetData>
    <row r="1">
      <c r="A1" s="1" t="s">
        <v>0</v>
      </c>
    </row>
    <row r="2">
      <c r="A2" s="1" t="s">
        <v>1</v>
      </c>
    </row>
    <row r="3">
      <c r="A3" s="1" t="s">
        <v>2</v>
      </c>
    </row>
    <row r="4">
      <c r="A4" s="1" t="s">
        <v>3</v>
      </c>
    </row>
  </sheetData>
  <hyperlinks>
    <hyperlink r:id="rId1" ref="A1"/>
    <hyperlink r:id="rId2" ref="A2"/>
    <hyperlink r:id="rId3" ref="A3"/>
    <hyperlink r:id="rId4" ref="A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20.0"/>
  </cols>
  <sheetData>
    <row r="1">
      <c r="A1" s="2" t="s">
        <v>4</v>
      </c>
    </row>
    <row r="2">
      <c r="A2" s="3" t="s">
        <v>5</v>
      </c>
    </row>
    <row r="3">
      <c r="A3" s="2" t="s">
        <v>6</v>
      </c>
    </row>
    <row r="4">
      <c r="A4" s="4" t="s">
        <v>7</v>
      </c>
    </row>
    <row r="5">
      <c r="A5" s="2" t="s">
        <v>8</v>
      </c>
    </row>
    <row r="6">
      <c r="A6" s="3" t="s">
        <v>9</v>
      </c>
    </row>
    <row r="7">
      <c r="A7" s="2" t="s">
        <v>10</v>
      </c>
    </row>
    <row r="8">
      <c r="A8" s="3" t="s">
        <v>11</v>
      </c>
    </row>
    <row r="9">
      <c r="A9" s="5" t="s">
        <v>12</v>
      </c>
    </row>
    <row r="10">
      <c r="A10" s="3" t="s">
        <v>13</v>
      </c>
    </row>
    <row r="11">
      <c r="A11" s="5" t="s">
        <v>14</v>
      </c>
    </row>
    <row r="12">
      <c r="A12" s="3" t="s">
        <v>15</v>
      </c>
    </row>
    <row r="13">
      <c r="A13" s="5" t="s">
        <v>16</v>
      </c>
    </row>
    <row r="14">
      <c r="A14" s="3" t="s">
        <v>17</v>
      </c>
    </row>
    <row r="15">
      <c r="A15" s="5" t="s">
        <v>18</v>
      </c>
    </row>
    <row r="16">
      <c r="A16" s="3" t="s">
        <v>19</v>
      </c>
    </row>
    <row r="17">
      <c r="A17" s="5" t="s">
        <v>20</v>
      </c>
    </row>
    <row r="18">
      <c r="A18" s="3" t="s">
        <v>21</v>
      </c>
    </row>
    <row r="19">
      <c r="A19" s="5" t="s">
        <v>22</v>
      </c>
    </row>
    <row r="20">
      <c r="A20" s="3" t="s">
        <v>23</v>
      </c>
    </row>
    <row r="21">
      <c r="A21" s="5" t="s">
        <v>24</v>
      </c>
    </row>
    <row r="22">
      <c r="A22" s="3" t="s">
        <v>25</v>
      </c>
    </row>
    <row r="23">
      <c r="A23" s="5" t="s">
        <v>26</v>
      </c>
    </row>
    <row r="24">
      <c r="A24" s="3" t="s">
        <v>27</v>
      </c>
    </row>
    <row r="25">
      <c r="A25" s="3" t="s">
        <v>28</v>
      </c>
    </row>
    <row r="26">
      <c r="A26" s="6" t="s">
        <v>29</v>
      </c>
    </row>
    <row r="27">
      <c r="A27" s="6"/>
    </row>
    <row r="28">
      <c r="A28" s="7"/>
    </row>
    <row r="29">
      <c r="A29" s="8"/>
    </row>
    <row r="30">
      <c r="A30" s="6"/>
    </row>
    <row r="31">
      <c r="A31" s="6"/>
    </row>
    <row r="32">
      <c r="A32" s="7"/>
    </row>
    <row r="33">
      <c r="A33" s="6"/>
    </row>
    <row r="34">
      <c r="A34" s="6"/>
    </row>
    <row r="35">
      <c r="A35" s="6"/>
    </row>
    <row r="36">
      <c r="A36" s="6"/>
    </row>
    <row r="37">
      <c r="A37" s="6"/>
    </row>
    <row r="38">
      <c r="A38" s="6"/>
    </row>
    <row r="39">
      <c r="A39" s="6"/>
    </row>
    <row r="40">
      <c r="A40" s="7"/>
    </row>
    <row r="41">
      <c r="A41" s="6"/>
    </row>
    <row r="42">
      <c r="A42" s="6"/>
    </row>
    <row r="43">
      <c r="A43" s="7"/>
    </row>
    <row r="44">
      <c r="A44" s="8"/>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7"/>
    </row>
    <row r="59">
      <c r="A59" s="6"/>
    </row>
    <row r="60">
      <c r="A60" s="8"/>
    </row>
    <row r="61">
      <c r="A61" s="6"/>
    </row>
    <row r="62">
      <c r="A62" s="6"/>
    </row>
    <row r="63">
      <c r="A63" s="6"/>
    </row>
    <row r="64">
      <c r="A64" s="6"/>
    </row>
    <row r="65">
      <c r="A65" s="6"/>
    </row>
    <row r="66">
      <c r="A66" s="6"/>
    </row>
    <row r="67">
      <c r="A67" s="6"/>
    </row>
    <row r="68">
      <c r="A68" s="7"/>
    </row>
    <row r="69">
      <c r="A69" s="6"/>
    </row>
    <row r="70">
      <c r="A70" s="8"/>
    </row>
    <row r="71">
      <c r="A71" s="8"/>
    </row>
    <row r="72">
      <c r="A72" s="9"/>
    </row>
    <row r="73">
      <c r="A73" s="6"/>
    </row>
    <row r="74">
      <c r="A74" s="6"/>
    </row>
    <row r="75">
      <c r="A75" s="10"/>
    </row>
    <row r="76">
      <c r="A76" s="6"/>
    </row>
    <row r="77">
      <c r="A77" s="7"/>
    </row>
    <row r="78">
      <c r="A78" s="8"/>
    </row>
    <row r="79">
      <c r="A79" s="6"/>
    </row>
    <row r="80">
      <c r="A80" s="8"/>
    </row>
    <row r="81">
      <c r="A81" s="9"/>
    </row>
    <row r="82">
      <c r="A82" s="6"/>
    </row>
    <row r="83">
      <c r="A83" s="8"/>
    </row>
    <row r="84">
      <c r="A84" s="6"/>
    </row>
    <row r="85">
      <c r="A85" s="6"/>
    </row>
    <row r="86">
      <c r="A86" s="6"/>
    </row>
    <row r="87">
      <c r="A87" s="6"/>
    </row>
    <row r="88">
      <c r="A88" s="6"/>
    </row>
    <row r="89">
      <c r="A89" s="6"/>
    </row>
    <row r="90">
      <c r="A90" s="8"/>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7"/>
    </row>
    <row r="104">
      <c r="A104" s="6"/>
    </row>
    <row r="105">
      <c r="A105" s="6"/>
    </row>
    <row r="106">
      <c r="A106" s="7"/>
    </row>
    <row r="107">
      <c r="A107" s="6"/>
    </row>
    <row r="108">
      <c r="A108" s="7"/>
    </row>
    <row r="109">
      <c r="A109" s="6"/>
    </row>
    <row r="110">
      <c r="A110" s="6"/>
    </row>
    <row r="111">
      <c r="A111" s="10"/>
    </row>
    <row r="112">
      <c r="A112" s="6"/>
    </row>
    <row r="113">
      <c r="A113" s="8"/>
    </row>
    <row r="114">
      <c r="A114" s="8"/>
    </row>
    <row r="115">
      <c r="A115" s="6"/>
    </row>
    <row r="116">
      <c r="A116" s="8"/>
    </row>
    <row r="117">
      <c r="A117" s="6"/>
    </row>
    <row r="118">
      <c r="A118" s="7"/>
    </row>
    <row r="119">
      <c r="A119" s="6"/>
    </row>
    <row r="120">
      <c r="A120" s="6"/>
    </row>
    <row r="121">
      <c r="A121" s="6"/>
    </row>
    <row r="122">
      <c r="A122" s="6"/>
    </row>
    <row r="123">
      <c r="A123" s="6"/>
    </row>
    <row r="124">
      <c r="A124" s="6"/>
    </row>
    <row r="125">
      <c r="A125" s="8"/>
    </row>
    <row r="126">
      <c r="A126" s="6"/>
    </row>
    <row r="127">
      <c r="A127" s="6"/>
    </row>
    <row r="128">
      <c r="A128" s="6"/>
    </row>
    <row r="129">
      <c r="A129" s="6"/>
    </row>
    <row r="130">
      <c r="A130" s="6"/>
    </row>
    <row r="131">
      <c r="A131" s="7"/>
    </row>
    <row r="132">
      <c r="A132" s="6"/>
    </row>
    <row r="133">
      <c r="A133" s="6"/>
    </row>
    <row r="134">
      <c r="A134" s="6"/>
    </row>
    <row r="135">
      <c r="A135" s="6"/>
    </row>
    <row r="136">
      <c r="A136" s="6"/>
    </row>
    <row r="137">
      <c r="A137" s="6"/>
    </row>
    <row r="138">
      <c r="A138" s="6"/>
    </row>
    <row r="139">
      <c r="A139" s="7"/>
    </row>
    <row r="140">
      <c r="A140" s="11"/>
    </row>
    <row r="141">
      <c r="A141" s="6"/>
    </row>
    <row r="142">
      <c r="A142" s="6"/>
    </row>
    <row r="143">
      <c r="A143" s="6"/>
    </row>
    <row r="144">
      <c r="A144" s="6"/>
    </row>
    <row r="145">
      <c r="A145" s="6"/>
    </row>
    <row r="146">
      <c r="A146" s="6"/>
    </row>
    <row r="147">
      <c r="A147" s="6"/>
    </row>
    <row r="148">
      <c r="A148" s="6"/>
    </row>
    <row r="149">
      <c r="A149" s="8"/>
    </row>
    <row r="150">
      <c r="A150" s="6"/>
    </row>
    <row r="151">
      <c r="A151" s="6"/>
    </row>
    <row r="152">
      <c r="A152" s="6"/>
    </row>
    <row r="153">
      <c r="A153" s="6"/>
    </row>
    <row r="154">
      <c r="A154" s="6"/>
    </row>
    <row r="155">
      <c r="A155"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75"/>
  </cols>
  <sheetData>
    <row r="1">
      <c r="A1" s="12" t="str">
        <f>HYPERLINK("https://drive.google.com/drive/folders/1q1Jb_9a7K4nUpB6mxCBt8MaxAYRzrfQs","DriveAnon's 4chan Drive/3. UPLOAD NEW JUMPS HERE TO BE SORTED (PUBLIC ACCESS)")</f>
        <v>DriveAnon's 4chan Drive/3. UPLOAD NEW JUMPS HERE TO BE SORTED (PUBLIC ACCESS)</v>
      </c>
      <c r="B1" s="4" t="s">
        <v>30</v>
      </c>
      <c r="C1" s="4" t="s">
        <v>31</v>
      </c>
    </row>
    <row r="2">
      <c r="A2" s="12" t="str">
        <f>HYPERLINK("https://drive.google.com/drive/folders/1k24uL0W3sZPjZUZskpBXYKdOSe0aRMAB","DriveAnon's 4chan Drive/1. QUICKSILVER'S JUMPS")</f>
        <v>DriveAnon's 4chan Drive/1. QUICKSILVER'S JUMPS</v>
      </c>
      <c r="B2" s="4" t="s">
        <v>32</v>
      </c>
      <c r="C2" s="4" t="s">
        <v>31</v>
      </c>
    </row>
    <row r="3">
      <c r="A3" s="12" t="str">
        <f>HYPERLINK("https://drive.google.com/drive/folders/11dk0SLm9Pl1tr1bFKQVJBfPFDEmt8HSR","DriveAnon's 4chan Drive/1. QUICKSILVER'S JUMPS/Body Mod")</f>
        <v>DriveAnon's 4chan Drive/1. QUICKSILVER'S JUMPS/Body Mod</v>
      </c>
      <c r="B3" s="4" t="s">
        <v>32</v>
      </c>
      <c r="C3" s="4" t="s">
        <v>31</v>
      </c>
    </row>
    <row r="4">
      <c r="A4" s="12" t="str">
        <f>HYPERLINK("https://drive.google.com/drive/folders/1BEJ9VAt7Xi0-0hrtCz2tSLgYdWcdh9_k","DriveAnon's 4chan Drive/1. QUICKSILVER'S JUMPS/2 - InFamous")</f>
        <v>DriveAnon's 4chan Drive/1. QUICKSILVER'S JUMPS/2 - InFamous</v>
      </c>
      <c r="B4" s="4" t="s">
        <v>32</v>
      </c>
      <c r="C4" s="4" t="s">
        <v>31</v>
      </c>
    </row>
    <row r="5">
      <c r="A5" s="12" t="str">
        <f>HYPERLINK("https://drive.google.com/drive/folders/1Vr2E-pIs0EnfhXh2wmyGeqBqpKUY42wD","DriveAnon's 4chan Drive/1. QUICKSILVER'S JUMPS/2 - InFamous/_Old_ Infamous Jump")</f>
        <v>DriveAnon's 4chan Drive/1. QUICKSILVER'S JUMPS/2 - InFamous/_Old_ Infamous Jump</v>
      </c>
      <c r="B5" s="4" t="s">
        <v>32</v>
      </c>
      <c r="C5" s="4" t="s">
        <v>31</v>
      </c>
    </row>
    <row r="6">
      <c r="A6" s="12" t="str">
        <f>HYPERLINK("https://drive.google.com/drive/folders/1H0CsGw9yd60AmfX-loIpeTpJwZkAo00h","DriveAnon's 4chan Drive/1. QUICKSILVER'S JUMPS/JumpChain Warehouse")</f>
        <v>DriveAnon's 4chan Drive/1. QUICKSILVER'S JUMPS/JumpChain Warehouse</v>
      </c>
      <c r="B6" s="4" t="s">
        <v>32</v>
      </c>
      <c r="C6" s="4" t="s">
        <v>31</v>
      </c>
    </row>
    <row r="7">
      <c r="A7" s="12" t="str">
        <f>HYPERLINK("https://drive.google.com/drive/folders/1JnHr4UCOrC-fRZkfTGx7kznYObx-7_du","DriveAnon's 4chan Drive/1. QUICKSILVER'S JUMPS/3 - Mystery Dungeon")</f>
        <v>DriveAnon's 4chan Drive/1. QUICKSILVER'S JUMPS/3 - Mystery Dungeon</v>
      </c>
      <c r="B7" s="4" t="s">
        <v>32</v>
      </c>
      <c r="C7" s="4" t="s">
        <v>31</v>
      </c>
    </row>
    <row r="8">
      <c r="A8" s="12" t="str">
        <f>HYPERLINK("https://drive.google.com/drive/folders/1h39em6aPm3-dG115ue2WZssDEmYgu-MM","DriveAnon's 4chan Drive/1. QUICKSILVER'S JUMPS/1 - Pokemon Trainer")</f>
        <v>DriveAnon's 4chan Drive/1. QUICKSILVER'S JUMPS/1 - Pokemon Trainer</v>
      </c>
      <c r="B8" s="4" t="s">
        <v>32</v>
      </c>
      <c r="C8" s="4" t="s">
        <v>31</v>
      </c>
    </row>
    <row r="9">
      <c r="A9" s="12" t="str">
        <f>HYPERLINK("https://drive.google.com/drive/folders/1CAfCyvzYAnX_Z3qAZfXpGu440xKGSaB2","DriveAnon's 4chan Drive/1. QUICKSILVER'S JUMPS/1 - Pokemon Trainer/_Old_ Pokemon Jump")</f>
        <v>DriveAnon's 4chan Drive/1. QUICKSILVER'S JUMPS/1 - Pokemon Trainer/_Old_ Pokemon Jump</v>
      </c>
      <c r="B9" s="4" t="s">
        <v>32</v>
      </c>
      <c r="C9" s="4" t="s">
        <v>31</v>
      </c>
    </row>
    <row r="10">
      <c r="A10" s="12" t="str">
        <f>HYPERLINK("https://drive.google.com/drive/folders/1nPqsh1LQa5sb9Oj4a0sh0CBlWM6xkWwX","DriveAnon's 4chan Drive/1. QUICKSILVER'S JUMPS/5 - Dragon Ball")</f>
        <v>DriveAnon's 4chan Drive/1. QUICKSILVER'S JUMPS/5 - Dragon Ball</v>
      </c>
      <c r="B10" s="4" t="s">
        <v>32</v>
      </c>
      <c r="C10" s="4" t="s">
        <v>31</v>
      </c>
    </row>
    <row r="11">
      <c r="A11" s="12" t="str">
        <f>HYPERLINK("https://drive.google.com/drive/folders/1p6Wnn1wwH-XJT9d0fcHkNfeFCkrxyd0P","DriveAnon's 4chan Drive/1. QUICKSILVER'S JUMPS/6 - DOOM 2016")</f>
        <v>DriveAnon's 4chan Drive/1. QUICKSILVER'S JUMPS/6 - DOOM 2016</v>
      </c>
      <c r="B11" s="4" t="s">
        <v>32</v>
      </c>
      <c r="C11" s="4" t="s">
        <v>31</v>
      </c>
    </row>
    <row r="12">
      <c r="A12" s="12" t="str">
        <f>HYPERLINK("https://drive.google.com/drive/folders/1yUBlF16EahR4ENx1_i_Lic8Vvp51IIPR","DriveAnon's 4chan Drive/1. QUICKSILVER'S JUMPS/4 -Mass Effect")</f>
        <v>DriveAnon's 4chan Drive/1. QUICKSILVER'S JUMPS/4 -Mass Effect</v>
      </c>
      <c r="B12" s="4" t="s">
        <v>32</v>
      </c>
      <c r="C12" s="4" t="s">
        <v>31</v>
      </c>
    </row>
    <row r="13">
      <c r="A13" s="12" t="str">
        <f>HYPERLINK("https://drive.google.com/drive/folders/1qV-tSoxKSCm-6eEgIFYEjAShfiXR5Mmr","DriveAnon's 4chan Drive/2. EVERYONE ELSE'S JUMPS")</f>
        <v>DriveAnon's 4chan Drive/2. EVERYONE ELSE'S JUMPS</v>
      </c>
      <c r="B13" s="4" t="s">
        <v>32</v>
      </c>
      <c r="C13" s="4" t="s">
        <v>31</v>
      </c>
    </row>
    <row r="14">
      <c r="A14" s="12" t="str">
        <f>HYPERLINK("https://drive.google.com/drive/folders/1QXW7ErHxu3i0y_rCxJGeDrEWNSav_R7P","DriveAnon's 4chan Drive/2. EVERYONE ELSE'S JUMPS/7. Lists")</f>
        <v>DriveAnon's 4chan Drive/2. EVERYONE ELSE'S JUMPS/7. Lists</v>
      </c>
      <c r="B14" s="4" t="s">
        <v>32</v>
      </c>
      <c r="C14" s="4" t="s">
        <v>31</v>
      </c>
    </row>
    <row r="15">
      <c r="A15" s="12" t="str">
        <f>HYPERLINK("https://drive.google.com/drive/folders/1Vn-he5gzsRKyZzememExgQDobaM-aFMP","DriveAnon's 4chan Drive/2. EVERYONE ELSE'S JUMPS/6. Supplements")</f>
        <v>DriveAnon's 4chan Drive/2. EVERYONE ELSE'S JUMPS/6. Supplements</v>
      </c>
      <c r="B15" s="4" t="s">
        <v>33</v>
      </c>
      <c r="C15" s="4" t="s">
        <v>31</v>
      </c>
    </row>
    <row r="16">
      <c r="A16" s="12" t="str">
        <f>HYPERLINK("https://drive.google.com/drive/folders/1Y2y7HLXcy-7qqXh5Em7D-MkFjmV820OE","DriveAnon's 4chan Drive/2. EVERYONE ELSE'S JUMPS/3. Series")</f>
        <v>DriveAnon's 4chan Drive/2. EVERYONE ELSE'S JUMPS/3. Series</v>
      </c>
      <c r="B16" s="4" t="s">
        <v>32</v>
      </c>
      <c r="C16" s="4" t="s">
        <v>31</v>
      </c>
    </row>
    <row r="17">
      <c r="A17" s="12" t="str">
        <f>HYPERLINK("https://drive.google.com/drive/folders/1EoXlsfZF_bJprgQc0RoU8m118Um7wvg8","DriveAnon's 4chan Drive/2. EVERYONE ELSE'S JUMPS/3. Series/Sin &amp; Punishment")</f>
        <v>DriveAnon's 4chan Drive/2. EVERYONE ELSE'S JUMPS/3. Series/Sin &amp; Punishment</v>
      </c>
      <c r="B17" s="4" t="s">
        <v>32</v>
      </c>
      <c r="C17" s="4" t="s">
        <v>31</v>
      </c>
    </row>
    <row r="18">
      <c r="A18" s="12" t="str">
        <f>HYPERLINK("https://drive.google.com/drive/folders/14Ky_tjJ5vFYCR3W6epxFQ6rAxG1akYGt","DriveAnon's 4chan Drive/2. EVERYONE ELSE'S JUMPS/3. Series/Stellaris")</f>
        <v>DriveAnon's 4chan Drive/2. EVERYONE ELSE'S JUMPS/3. Series/Stellaris</v>
      </c>
      <c r="B18" s="4" t="s">
        <v>32</v>
      </c>
      <c r="C18" s="4" t="s">
        <v>31</v>
      </c>
    </row>
    <row r="19">
      <c r="A19" s="12" t="str">
        <f>HYPERLINK("https://drive.google.com/drive/folders/1QEuKor_AECe-52XzY747XpxHBE3tjW9V","DriveAnon's 4chan Drive/2. EVERYONE ELSE'S JUMPS/3. Series/One Punch Man")</f>
        <v>DriveAnon's 4chan Drive/2. EVERYONE ELSE'S JUMPS/3. Series/One Punch Man</v>
      </c>
      <c r="B19" s="4" t="s">
        <v>32</v>
      </c>
      <c r="C19" s="4" t="s">
        <v>31</v>
      </c>
    </row>
    <row r="20">
      <c r="A20" s="12" t="str">
        <f>HYPERLINK("https://drive.google.com/drive/folders/1XN43z45ydDKsZjYlimMB9KLduwKoDL5_","DriveAnon's 4chan Drive/2. EVERYONE ELSE'S JUMPS/3. Series/Terminator")</f>
        <v>DriveAnon's 4chan Drive/2. EVERYONE ELSE'S JUMPS/3. Series/Terminator</v>
      </c>
      <c r="B20" s="4" t="s">
        <v>32</v>
      </c>
      <c r="C20" s="4" t="s">
        <v>31</v>
      </c>
    </row>
    <row r="21">
      <c r="A21" s="12" t="str">
        <f>HYPERLINK("https://drive.google.com/drive/folders/1P-nEAkwjzTXu8cQhp3t3HxprwftosTXh","DriveAnon's 4chan Drive/2. EVERYONE ELSE'S JUMPS/3. Series/Naruto")</f>
        <v>DriveAnon's 4chan Drive/2. EVERYONE ELSE'S JUMPS/3. Series/Naruto</v>
      </c>
      <c r="B21" s="4" t="s">
        <v>32</v>
      </c>
      <c r="C21" s="4" t="s">
        <v>31</v>
      </c>
    </row>
    <row r="22">
      <c r="A22" s="12" t="str">
        <f>HYPERLINK("https://drive.google.com/drive/folders/1axSlYY8MK9v1IL3vR6jCXUsty4rx9igH","DriveAnon's 4chan Drive/2. EVERYONE ELSE'S JUMPS/3. Series/Wheel Of Time")</f>
        <v>DriveAnon's 4chan Drive/2. EVERYONE ELSE'S JUMPS/3. Series/Wheel Of Time</v>
      </c>
      <c r="B22" s="4" t="s">
        <v>32</v>
      </c>
      <c r="C22" s="4" t="s">
        <v>31</v>
      </c>
    </row>
    <row r="23">
      <c r="A23" s="12" t="str">
        <f>HYPERLINK("https://drive.google.com/drive/folders/1DqvSYplRM9SNBoQ97rnejJfp1jPPURn2","DriveAnon's 4chan Drive/2. EVERYONE ELSE'S JUMPS/3. Series/High School DxD")</f>
        <v>DriveAnon's 4chan Drive/2. EVERYONE ELSE'S JUMPS/3. Series/High School DxD</v>
      </c>
      <c r="B23" s="4" t="s">
        <v>32</v>
      </c>
      <c r="C23" s="4" t="s">
        <v>31</v>
      </c>
    </row>
    <row r="24">
      <c r="A24" s="12" t="str">
        <f>HYPERLINK("https://drive.google.com/drive/folders/1Mcws1Lim5uKW3iq8FoQHcTsb3LRK6tDc","DriveAnon's 4chan Drive/2. EVERYONE ELSE'S JUMPS/3. Series/Slay The Spire")</f>
        <v>DriveAnon's 4chan Drive/2. EVERYONE ELSE'S JUMPS/3. Series/Slay The Spire</v>
      </c>
      <c r="B24" s="4" t="s">
        <v>32</v>
      </c>
      <c r="C24" s="4" t="s">
        <v>31</v>
      </c>
    </row>
    <row r="25">
      <c r="A25" s="12" t="str">
        <f>HYPERLINK("https://drive.google.com/drive/folders/1rlGFmYx9dpi8EPMVA5wa3-MDSLrpHEou","DriveAnon's 4chan Drive/2. EVERYONE ELSE'S JUMPS/3. Series/Danny Phantom")</f>
        <v>DriveAnon's 4chan Drive/2. EVERYONE ELSE'S JUMPS/3. Series/Danny Phantom</v>
      </c>
      <c r="B25" s="4" t="s">
        <v>32</v>
      </c>
      <c r="C25" s="4" t="s">
        <v>31</v>
      </c>
    </row>
    <row r="26">
      <c r="A26" s="12" t="str">
        <f>HYPERLINK("https://drive.google.com/drive/folders/1AW7kmRE2SAliRxYsSYuap0IAZXJe3atC","DriveAnon's 4chan Drive/2. EVERYONE ELSE'S JUMPS/3. Series/OMORI")</f>
        <v>DriveAnon's 4chan Drive/2. EVERYONE ELSE'S JUMPS/3. Series/OMORI</v>
      </c>
      <c r="B26" s="4" t="s">
        <v>32</v>
      </c>
      <c r="C26" s="4" t="s">
        <v>31</v>
      </c>
    </row>
    <row r="27">
      <c r="A27" s="12" t="str">
        <f>HYPERLINK("https://drive.google.com/drive/folders/1hJ8fpLQd6IJhTCoKLyhFe6zkkyzkJjuN","DriveAnon's 4chan Drive/2. EVERYONE ELSE'S JUMPS/3. Series/Dragon Quest")</f>
        <v>DriveAnon's 4chan Drive/2. EVERYONE ELSE'S JUMPS/3. Series/Dragon Quest</v>
      </c>
      <c r="B27" s="4" t="s">
        <v>32</v>
      </c>
      <c r="C27" s="4" t="s">
        <v>31</v>
      </c>
    </row>
    <row r="28">
      <c r="A28" s="12" t="str">
        <f>HYPERLINK("https://drive.google.com/drive/folders/1jmlF8_sJc-WKp_FWkG_lyTRohjSbtS-1","DriveAnon's 4chan Drive/2. EVERYONE ELSE'S JUMPS/3. Series/Darkstalkers")</f>
        <v>DriveAnon's 4chan Drive/2. EVERYONE ELSE'S JUMPS/3. Series/Darkstalkers</v>
      </c>
      <c r="B28" s="4" t="s">
        <v>32</v>
      </c>
      <c r="C28" s="4" t="s">
        <v>31</v>
      </c>
    </row>
    <row r="29">
      <c r="A29" s="12" t="str">
        <f>HYPERLINK("https://drive.google.com/drive/folders/1RuQCQPd0q-8mGx9U58aQguw5IFrJoUHG","DriveAnon's 4chan Drive/2. EVERYONE ELSE'S JUMPS/3. Series/Fairy Tail")</f>
        <v>DriveAnon's 4chan Drive/2. EVERYONE ELSE'S JUMPS/3. Series/Fairy Tail</v>
      </c>
      <c r="B29" s="4" t="s">
        <v>32</v>
      </c>
      <c r="C29" s="4" t="s">
        <v>31</v>
      </c>
    </row>
    <row r="30">
      <c r="A30" s="12" t="str">
        <f>HYPERLINK("https://drive.google.com/drive/folders/198Z9wch3luM6c3jmcCvP-gvO5j4iifqp","DriveAnon's 4chan Drive/2. EVERYONE ELSE'S JUMPS/3. Series/Powder Mage")</f>
        <v>DriveAnon's 4chan Drive/2. EVERYONE ELSE'S JUMPS/3. Series/Powder Mage</v>
      </c>
      <c r="B30" s="4" t="s">
        <v>32</v>
      </c>
      <c r="C30" s="4" t="s">
        <v>31</v>
      </c>
    </row>
    <row r="31">
      <c r="A31" s="12" t="str">
        <f>HYPERLINK("https://drive.google.com/drive/folders/1Zhu7tbcIGVIwZAQvGkFbGFobjGZVFrh1","DriveAnon's 4chan Drive/2. EVERYONE ELSE'S JUMPS/3. Series/Shadow Of The Demon Lord")</f>
        <v>DriveAnon's 4chan Drive/2. EVERYONE ELSE'S JUMPS/3. Series/Shadow Of The Demon Lord</v>
      </c>
      <c r="B31" s="4" t="s">
        <v>32</v>
      </c>
      <c r="C31" s="4" t="s">
        <v>31</v>
      </c>
    </row>
    <row r="32">
      <c r="A32" s="12" t="str">
        <f>HYPERLINK("https://drive.google.com/drive/folders/16dCtcSkz4ejBObF9H8lOS_LTg950VztL","DriveAnon's 4chan Drive/2. EVERYONE ELSE'S JUMPS/3. Series/Warhammer Age Of Sigmar")</f>
        <v>DriveAnon's 4chan Drive/2. EVERYONE ELSE'S JUMPS/3. Series/Warhammer Age Of Sigmar</v>
      </c>
      <c r="B32" s="4" t="s">
        <v>32</v>
      </c>
      <c r="C32" s="4" t="s">
        <v>31</v>
      </c>
    </row>
    <row r="33">
      <c r="A33" s="12" t="str">
        <f>HYPERLINK("https://drive.google.com/drive/folders/18AUFS0JSflFYm1OwgdTA-G9l-fke9uMg","DriveAnon's 4chan Drive/2. EVERYONE ELSE'S JUMPS/3. Series/Dark Cloud")</f>
        <v>DriveAnon's 4chan Drive/2. EVERYONE ELSE'S JUMPS/3. Series/Dark Cloud</v>
      </c>
      <c r="B33" s="4" t="s">
        <v>32</v>
      </c>
      <c r="C33" s="4" t="s">
        <v>31</v>
      </c>
    </row>
    <row r="34">
      <c r="A34" s="12" t="str">
        <f>HYPERLINK("https://drive.google.com/drive/folders/1aP9vFbr1KuX9NMFAlj0fgpgRpJho19N4","DriveAnon's 4chan Drive/2. EVERYONE ELSE'S JUMPS/3. Series/Darkest Dungeon")</f>
        <v>DriveAnon's 4chan Drive/2. EVERYONE ELSE'S JUMPS/3. Series/Darkest Dungeon</v>
      </c>
      <c r="B34" s="4" t="s">
        <v>32</v>
      </c>
      <c r="C34" s="4" t="s">
        <v>31</v>
      </c>
    </row>
    <row r="35">
      <c r="A35" s="12" t="str">
        <f>HYPERLINK("https://drive.google.com/drive/folders/1RPGlYn_unK2ur_xXUIg9HDzGWFbxePi5","DriveAnon's 4chan Drive/2. EVERYONE ELSE'S JUMPS/3. Series/Peter Pan")</f>
        <v>DriveAnon's 4chan Drive/2. EVERYONE ELSE'S JUMPS/3. Series/Peter Pan</v>
      </c>
      <c r="B35" s="4" t="s">
        <v>32</v>
      </c>
      <c r="C35" s="4" t="s">
        <v>31</v>
      </c>
    </row>
    <row r="36">
      <c r="A36" s="12" t="str">
        <f>HYPERLINK("https://drive.google.com/drive/folders/1vigQmpZ0iOFv48VJ891tfTO2JL5oQmFE","DriveAnon's 4chan Drive/2. EVERYONE ELSE'S JUMPS/3. Series/Van Helsing")</f>
        <v>DriveAnon's 4chan Drive/2. EVERYONE ELSE'S JUMPS/3. Series/Van Helsing</v>
      </c>
      <c r="B36" s="4" t="s">
        <v>32</v>
      </c>
      <c r="C36" s="4" t="s">
        <v>31</v>
      </c>
    </row>
    <row r="37">
      <c r="A37" s="12" t="str">
        <f>HYPERLINK("https://drive.google.com/drive/folders/1_tXCqU6y0G84ZnT24h4xnbyyQilK8oXa","DriveAnon's 4chan Drive/2. EVERYONE ELSE'S JUMPS/3. Series/Xenoblade")</f>
        <v>DriveAnon's 4chan Drive/2. EVERYONE ELSE'S JUMPS/3. Series/Xenoblade</v>
      </c>
      <c r="B37" s="4" t="s">
        <v>32</v>
      </c>
      <c r="C37" s="4" t="s">
        <v>31</v>
      </c>
    </row>
    <row r="38">
      <c r="A38" s="12" t="str">
        <f>HYPERLINK("https://drive.google.com/drive/folders/1LJrIiucawge1OD0P4XpYYueSsr5xuK5W","DriveAnon's 4chan Drive/2. EVERYONE ELSE'S JUMPS/3. Series/Casper")</f>
        <v>DriveAnon's 4chan Drive/2. EVERYONE ELSE'S JUMPS/3. Series/Casper</v>
      </c>
      <c r="B38" s="4" t="s">
        <v>32</v>
      </c>
      <c r="C38" s="4" t="s">
        <v>31</v>
      </c>
    </row>
    <row r="39">
      <c r="A39" s="12" t="str">
        <f>HYPERLINK("https://drive.google.com/drive/folders/1OdgrnT_HtU23rcHD7VzeB3ninPTL0UnP","DriveAnon's 4chan Drive/2. EVERYONE ELSE'S JUMPS/3. Series/Hellsing")</f>
        <v>DriveAnon's 4chan Drive/2. EVERYONE ELSE'S JUMPS/3. Series/Hellsing</v>
      </c>
      <c r="B39" s="4" t="s">
        <v>32</v>
      </c>
      <c r="C39" s="4" t="s">
        <v>31</v>
      </c>
    </row>
    <row r="40">
      <c r="A40" s="12" t="str">
        <f>HYPERLINK("https://drive.google.com/drive/folders/1Hf6bw6lp0CV7VdQaDa5u3leCdLCc6bU4","DriveAnon's 4chan Drive/2. EVERYONE ELSE'S JUMPS/3. Series/Ben 10")</f>
        <v>DriveAnon's 4chan Drive/2. EVERYONE ELSE'S JUMPS/3. Series/Ben 10</v>
      </c>
      <c r="B40" s="4" t="s">
        <v>32</v>
      </c>
      <c r="C40" s="4" t="s">
        <v>31</v>
      </c>
    </row>
    <row r="41">
      <c r="A41" s="12" t="str">
        <f>HYPERLINK("https://drive.google.com/drive/folders/1O1rzZGpCKSQAwblBImc69ZXPPT-U7sIN","DriveAnon's 4chan Drive/2. EVERYONE ELSE'S JUMPS/3. Series/Super Sentai")</f>
        <v>DriveAnon's 4chan Drive/2. EVERYONE ELSE'S JUMPS/3. Series/Super Sentai</v>
      </c>
      <c r="B41" s="4" t="s">
        <v>32</v>
      </c>
      <c r="C41" s="4" t="s">
        <v>31</v>
      </c>
    </row>
    <row r="42">
      <c r="A42" s="12" t="str">
        <f>HYPERLINK("https://drive.google.com/drive/folders/1BykcnYLPMNE5jJzmzSyW9pkjeYtv2xVA","DriveAnon's 4chan Drive/2. EVERYONE ELSE'S JUMPS/3. Series/World of Darkness")</f>
        <v>DriveAnon's 4chan Drive/2. EVERYONE ELSE'S JUMPS/3. Series/World of Darkness</v>
      </c>
      <c r="B42" s="4" t="s">
        <v>32</v>
      </c>
      <c r="C42" s="4" t="s">
        <v>31</v>
      </c>
    </row>
    <row r="43">
      <c r="A43" s="12" t="str">
        <f>HYPERLINK("https://drive.google.com/drive/folders/1IWNLxxIa4imMsvKIcPQTzYiMPDGP0SOb","DriveAnon's 4chan Drive/2. EVERYONE ELSE'S JUMPS/3. Series/Yoko Taro Series")</f>
        <v>DriveAnon's 4chan Drive/2. EVERYONE ELSE'S JUMPS/3. Series/Yoko Taro Series</v>
      </c>
      <c r="B43" s="4" t="s">
        <v>32</v>
      </c>
      <c r="C43" s="4" t="s">
        <v>31</v>
      </c>
    </row>
    <row r="44">
      <c r="A44" s="12" t="str">
        <f>HYPERLINK("https://drive.google.com/drive/folders/1JYnbDignRq8xOHaKdGyua1cNlBYidZxR","DriveAnon's 4chan Drive/2. EVERYONE ELSE'S JUMPS/3. Series/XCOM")</f>
        <v>DriveAnon's 4chan Drive/2. EVERYONE ELSE'S JUMPS/3. Series/XCOM</v>
      </c>
      <c r="B44" s="4" t="s">
        <v>32</v>
      </c>
      <c r="C44" s="4" t="s">
        <v>31</v>
      </c>
    </row>
    <row r="45">
      <c r="A45" s="12" t="str">
        <f>HYPERLINK("https://drive.google.com/drive/folders/1V-wnQC3bx3CCrcA2Lbr_XuAU9tKAyjBw","DriveAnon's 4chan Drive/2. EVERYONE ELSE'S JUMPS/3. Series/Warhammer Fantasy")</f>
        <v>DriveAnon's 4chan Drive/2. EVERYONE ELSE'S JUMPS/3. Series/Warhammer Fantasy</v>
      </c>
      <c r="B45" s="4" t="s">
        <v>32</v>
      </c>
      <c r="C45" s="4" t="s">
        <v>31</v>
      </c>
    </row>
    <row r="46">
      <c r="A46" s="12" t="str">
        <f>HYPERLINK("https://drive.google.com/drive/folders/1_NWR-47VJVt6FMCj3bZLiG8KAnzQBQ16","DriveAnon's 4chan Drive/2. EVERYONE ELSE'S JUMPS/3. Series/Yu-Gi-Oh!")</f>
        <v>DriveAnon's 4chan Drive/2. EVERYONE ELSE'S JUMPS/3. Series/Yu-Gi-Oh!</v>
      </c>
      <c r="B46" s="4" t="s">
        <v>32</v>
      </c>
      <c r="C46" s="4" t="s">
        <v>31</v>
      </c>
    </row>
    <row r="47">
      <c r="A47" s="12" t="str">
        <f>HYPERLINK("https://drive.google.com/drive/folders/1G8D-N_iW41wsQ694q9Rg75F8Mv_iUA6y","DriveAnon's 4chan Drive/2. EVERYONE ELSE'S JUMPS/3. Series/Yu-Gi-Oh!/Duel Monsters")</f>
        <v>DriveAnon's 4chan Drive/2. EVERYONE ELSE'S JUMPS/3. Series/Yu-Gi-Oh!/Duel Monsters</v>
      </c>
      <c r="B47" s="4" t="s">
        <v>32</v>
      </c>
      <c r="C47" s="4" t="s">
        <v>31</v>
      </c>
    </row>
    <row r="48">
      <c r="A48" s="12" t="str">
        <f>HYPERLINK("https://drive.google.com/drive/folders/1buZSvNp9p_VAqUG3H4qkthHoJarC4PpL","DriveAnon's 4chan Drive/2. EVERYONE ELSE'S JUMPS/3. Series/White Knight Chronicles")</f>
        <v>DriveAnon's 4chan Drive/2. EVERYONE ELSE'S JUMPS/3. Series/White Knight Chronicles</v>
      </c>
      <c r="B48" s="4" t="s">
        <v>32</v>
      </c>
      <c r="C48" s="4" t="s">
        <v>31</v>
      </c>
    </row>
    <row r="49">
      <c r="A49" s="12" t="str">
        <f>HYPERLINK("https://drive.google.com/drive/folders/1dZDM9StXzf-lcrnz4ixVSWOmu2dxT4Kq","DriveAnon's 4chan Drive/2. EVERYONE ELSE'S JUMPS/3. Series/Warhammer 40,000")</f>
        <v>DriveAnon's 4chan Drive/2. EVERYONE ELSE'S JUMPS/3. Series/Warhammer 40,000</v>
      </c>
      <c r="B49" s="4" t="s">
        <v>32</v>
      </c>
      <c r="C49" s="4" t="s">
        <v>31</v>
      </c>
    </row>
    <row r="50">
      <c r="A50" s="12" t="str">
        <f>HYPERLINK("https://drive.google.com/drive/folders/1Kt3MYUFvm79Tx7FKPmeZZeJIR82dm5Hf","DriveAnon's 4chan Drive/2. EVERYONE ELSE'S JUMPS/3. Series/Warhammer 40,000/Light of Terra")</f>
        <v>DriveAnon's 4chan Drive/2. EVERYONE ELSE'S JUMPS/3. Series/Warhammer 40,000/Light of Terra</v>
      </c>
      <c r="B50" s="4" t="s">
        <v>32</v>
      </c>
      <c r="C50" s="4" t="s">
        <v>31</v>
      </c>
    </row>
    <row r="51">
      <c r="A51" s="12" t="str">
        <f>HYPERLINK("https://drive.google.com/drive/folders/1kdnpRW3_7eALRF4EWlWLT8ch8xzOH0UK","DriveAnon's 4chan Drive/2. EVERYONE ELSE'S JUMPS/3. Series/Warhammer 40,000/Warhammer 40k- Black Crusade")</f>
        <v>DriveAnon's 4chan Drive/2. EVERYONE ELSE'S JUMPS/3. Series/Warhammer 40,000/Warhammer 40k- Black Crusade</v>
      </c>
      <c r="B51" s="4" t="s">
        <v>32</v>
      </c>
      <c r="C51" s="4" t="s">
        <v>31</v>
      </c>
    </row>
    <row r="52">
      <c r="A52" s="12" t="str">
        <f>HYPERLINK("https://drive.google.com/drive/folders/1YF_8VAC7ufR5noydDD0WeyeP58GYg6it","DriveAnon's 4chan Drive/2. EVERYONE ELSE'S JUMPS/3. Series/Wakfu Images")</f>
        <v>DriveAnon's 4chan Drive/2. EVERYONE ELSE'S JUMPS/3. Series/Wakfu Images</v>
      </c>
      <c r="B52" s="4" t="s">
        <v>32</v>
      </c>
      <c r="C52" s="4" t="s">
        <v>31</v>
      </c>
    </row>
    <row r="53">
      <c r="A53" s="12" t="str">
        <f>HYPERLINK("https://drive.google.com/drive/folders/1RjCj6uxb15L8EeHJigYjQaTg5NiBLkdX","DriveAnon's 4chan Drive/2. EVERYONE ELSE'S JUMPS/3. Series/Wakfu Images/_Old_ Wakfu Jump")</f>
        <v>DriveAnon's 4chan Drive/2. EVERYONE ELSE'S JUMPS/3. Series/Wakfu Images/_Old_ Wakfu Jump</v>
      </c>
      <c r="B53" s="4" t="s">
        <v>32</v>
      </c>
      <c r="C53" s="4" t="s">
        <v>31</v>
      </c>
    </row>
    <row r="54">
      <c r="A54" s="12" t="str">
        <f>HYPERLINK("https://drive.google.com/drive/folders/1D9bO_WNVQfWcM3z8sxL2zE-rddHwO_DI","DriveAnon's 4chan Drive/2. EVERYONE ELSE'S JUMPS/3. Series/Ultraman")</f>
        <v>DriveAnon's 4chan Drive/2. EVERYONE ELSE'S JUMPS/3. Series/Ultraman</v>
      </c>
      <c r="B54" s="4" t="s">
        <v>32</v>
      </c>
      <c r="C54" s="4" t="s">
        <v>31</v>
      </c>
    </row>
    <row r="55">
      <c r="A55" s="12" t="str">
        <f>HYPERLINK("https://drive.google.com/drive/folders/1sDu-vXdy4R9Hng-NXYdnwUBWQuNF2lf2","DriveAnon's 4chan Drive/2. EVERYONE ELSE'S JUMPS/3. Series/Type Moon")</f>
        <v>DriveAnon's 4chan Drive/2. EVERYONE ELSE'S JUMPS/3. Series/Type Moon</v>
      </c>
      <c r="B55" s="4" t="s">
        <v>32</v>
      </c>
      <c r="C55" s="4" t="s">
        <v>31</v>
      </c>
    </row>
    <row r="56">
      <c r="A56" s="12" t="str">
        <f>HYPERLINK("https://drive.google.com/drive/folders/1ygZa3P6D7rVpvUc6tCEJRSBnZTgFlzoI","DriveAnon's 4chan Drive/2. EVERYONE ELSE'S JUMPS/3. Series/Type Moon/Fate-JumpChain")</f>
        <v>DriveAnon's 4chan Drive/2. EVERYONE ELSE'S JUMPS/3. Series/Type Moon/Fate-JumpChain</v>
      </c>
      <c r="B56" s="4" t="s">
        <v>32</v>
      </c>
      <c r="C56" s="4" t="s">
        <v>31</v>
      </c>
    </row>
    <row r="57">
      <c r="A57" s="12" t="str">
        <f>HYPERLINK("https://drive.google.com/drive/folders/1FOubuxabdQmd9VSijfVej-kYN49CyE2-","DriveAnon's 4chan Drive/2. EVERYONE ELSE'S JUMPS/3. Series/Traveler_s Gate")</f>
        <v>DriveAnon's 4chan Drive/2. EVERYONE ELSE'S JUMPS/3. Series/Traveler_s Gate</v>
      </c>
      <c r="B57" s="4" t="s">
        <v>32</v>
      </c>
      <c r="C57" s="4" t="s">
        <v>31</v>
      </c>
    </row>
    <row r="58">
      <c r="A58" s="12" t="str">
        <f>HYPERLINK("https://drive.google.com/drive/folders/1vCSHjouCNotvWTabiJAOW2k9MiyKVbhC","DriveAnon's 4chan Drive/2. EVERYONE ELSE'S JUMPS/3. Series/Transformers")</f>
        <v>DriveAnon's 4chan Drive/2. EVERYONE ELSE'S JUMPS/3. Series/Transformers</v>
      </c>
      <c r="B58" s="4" t="s">
        <v>32</v>
      </c>
      <c r="C58" s="4" t="s">
        <v>31</v>
      </c>
    </row>
    <row r="59">
      <c r="A59" s="12" t="str">
        <f>HYPERLINK("https://drive.google.com/drive/folders/15rxnNBWg-BJTG_364HYHy_SufMzrwWkb","DriveAnon's 4chan Drive/2. EVERYONE ELSE'S JUMPS/3. Series/Touhou Project")</f>
        <v>DriveAnon's 4chan Drive/2. EVERYONE ELSE'S JUMPS/3. Series/Touhou Project</v>
      </c>
      <c r="B59" s="4" t="s">
        <v>32</v>
      </c>
      <c r="C59" s="4" t="s">
        <v>31</v>
      </c>
    </row>
    <row r="60">
      <c r="A60" s="12" t="str">
        <f>HYPERLINK("https://drive.google.com/drive/folders/180bqvtS3qEw4QSmOwZhYPUlub4CeMWlq","DriveAnon's 4chan Drive/2. EVERYONE ELSE'S JUMPS/3. Series/The Great Game")</f>
        <v>DriveAnon's 4chan Drive/2. EVERYONE ELSE'S JUMPS/3. Series/The Great Game</v>
      </c>
      <c r="B60" s="4" t="s">
        <v>32</v>
      </c>
      <c r="C60" s="4" t="s">
        <v>31</v>
      </c>
    </row>
    <row r="61">
      <c r="A61" s="12" t="str">
        <f>HYPERLINK("https://drive.google.com/drive/folders/19ig8AUXvMbQutrp-TMdABB5wuZ-f0lXR","DriveAnon's 4chan Drive/2. EVERYONE ELSE'S JUMPS/3. Series/The Elder Scrolls")</f>
        <v>DriveAnon's 4chan Drive/2. EVERYONE ELSE'S JUMPS/3. Series/The Elder Scrolls</v>
      </c>
      <c r="B61" s="4" t="s">
        <v>32</v>
      </c>
      <c r="C61" s="4" t="s">
        <v>31</v>
      </c>
    </row>
    <row r="62">
      <c r="A62" s="12" t="str">
        <f>HYPERLINK("https://drive.google.com/drive/folders/1YrFz9Wt1D9_ATYq5Lg1p5xYMctnIZAVh","DriveAnon's 4chan Drive/2. EVERYONE ELSE'S JUMPS/3. Series/The Elder Scrolls/Old Jump")</f>
        <v>DriveAnon's 4chan Drive/2. EVERYONE ELSE'S JUMPS/3. Series/The Elder Scrolls/Old Jump</v>
      </c>
      <c r="B62" s="4" t="s">
        <v>32</v>
      </c>
      <c r="C62" s="4" t="s">
        <v>31</v>
      </c>
    </row>
    <row r="63">
      <c r="A63" s="12" t="str">
        <f>HYPERLINK("https://drive.google.com/drive/folders/1F_PeWsU98W33gFrW5V_ESsjv2vUwC8xj","DriveAnon's 4chan Drive/2. EVERYONE ELSE'S JUMPS/3. Series/The Incredibles")</f>
        <v>DriveAnon's 4chan Drive/2. EVERYONE ELSE'S JUMPS/3. Series/The Incredibles</v>
      </c>
      <c r="B63" s="4" t="s">
        <v>32</v>
      </c>
      <c r="C63" s="4" t="s">
        <v>31</v>
      </c>
    </row>
    <row r="64">
      <c r="A64" s="12" t="str">
        <f>HYPERLINK("https://drive.google.com/drive/folders/1G4D5zZD8Wo4gTIc0eUKxrltsDjJRqMsU","DriveAnon's 4chan Drive/2. EVERYONE ELSE'S JUMPS/3. Series/TF2")</f>
        <v>DriveAnon's 4chan Drive/2. EVERYONE ELSE'S JUMPS/3. Series/TF2</v>
      </c>
      <c r="B64" s="4" t="s">
        <v>32</v>
      </c>
      <c r="C64" s="4" t="s">
        <v>31</v>
      </c>
    </row>
    <row r="65">
      <c r="A65" s="12" t="str">
        <f>HYPERLINK("https://drive.google.com/drive/folders/1XJl11DitR3tWcd_of3DA5kvl26NeDitT","DriveAnon's 4chan Drive/2. EVERYONE ELSE'S JUMPS/3. Series/The Sims")</f>
        <v>DriveAnon's 4chan Drive/2. EVERYONE ELSE'S JUMPS/3. Series/The Sims</v>
      </c>
      <c r="B65" s="4" t="s">
        <v>32</v>
      </c>
      <c r="C65" s="4" t="s">
        <v>31</v>
      </c>
    </row>
    <row r="66">
      <c r="A66" s="12" t="str">
        <f>HYPERLINK("https://drive.google.com/drive/folders/1YCJpEwrakO1Hf9vz8EQbIQa5q95LtWV_","DriveAnon's 4chan Drive/2. EVERYONE ELSE'S JUMPS/3. Series/Thundercats")</f>
        <v>DriveAnon's 4chan Drive/2. EVERYONE ELSE'S JUMPS/3. Series/Thundercats</v>
      </c>
      <c r="B66" s="4" t="s">
        <v>32</v>
      </c>
      <c r="C66" s="4" t="s">
        <v>31</v>
      </c>
    </row>
    <row r="67">
      <c r="A67" s="12" t="str">
        <f>HYPERLINK("https://drive.google.com/drive/folders/1d6se5XAm5yf6cuKks9TC8pDLtFgOqo55","DriveAnon's 4chan Drive/2. EVERYONE ELSE'S JUMPS/3. Series/Temeraire")</f>
        <v>DriveAnon's 4chan Drive/2. EVERYONE ELSE'S JUMPS/3. Series/Temeraire</v>
      </c>
      <c r="B67" s="4" t="s">
        <v>32</v>
      </c>
      <c r="C67" s="4" t="s">
        <v>31</v>
      </c>
    </row>
    <row r="68">
      <c r="A68" s="12" t="str">
        <f>HYPERLINK("https://drive.google.com/drive/folders/1C-zfj7eGmyGUEambJj3eI7dw9sQZQGAO","DriveAnon's 4chan Drive/2. EVERYONE ELSE'S JUMPS/3. Series/Tales Series")</f>
        <v>DriveAnon's 4chan Drive/2. EVERYONE ELSE'S JUMPS/3. Series/Tales Series</v>
      </c>
      <c r="B68" s="4" t="s">
        <v>32</v>
      </c>
      <c r="C68" s="4" t="s">
        <v>31</v>
      </c>
    </row>
    <row r="69">
      <c r="A69" s="12" t="str">
        <f>HYPERLINK("https://drive.google.com/drive/folders/1zc57fjQYOhnU-ZGwnxYH5h7MMNXMVpcN","DriveAnon's 4chan Drive/2. EVERYONE ELSE'S JUMPS/3. Series/System Shock")</f>
        <v>DriveAnon's 4chan Drive/2. EVERYONE ELSE'S JUMPS/3. Series/System Shock</v>
      </c>
      <c r="B69" s="4" t="s">
        <v>32</v>
      </c>
      <c r="C69" s="4" t="s">
        <v>31</v>
      </c>
    </row>
    <row r="70">
      <c r="A70" s="12" t="str">
        <f>HYPERLINK("https://drive.google.com/drive/folders/14r89jiZ5xbJpPACLAW2afPwwjy5BwGGv","DriveAnon's 4chan Drive/2. EVERYONE ELSE'S JUMPS/3. Series/Sonic")</f>
        <v>DriveAnon's 4chan Drive/2. EVERYONE ELSE'S JUMPS/3. Series/Sonic</v>
      </c>
      <c r="B70" s="4" t="s">
        <v>32</v>
      </c>
      <c r="C70" s="4" t="s">
        <v>31</v>
      </c>
    </row>
    <row r="71">
      <c r="A71" s="12" t="str">
        <f>HYPERLINK("https://drive.google.com/drive/folders/19M4RnkAvBFgz2poRiyElImPN0RiFT_Nv","DriveAnon's 4chan Drive/2. EVERYONE ELSE'S JUMPS/3. Series/Starcraft")</f>
        <v>DriveAnon's 4chan Drive/2. EVERYONE ELSE'S JUMPS/3. Series/Starcraft</v>
      </c>
      <c r="B71" s="4" t="s">
        <v>32</v>
      </c>
      <c r="C71" s="4" t="s">
        <v>31</v>
      </c>
    </row>
    <row r="72">
      <c r="A72" s="12" t="str">
        <f>HYPERLINK("https://drive.google.com/drive/folders/1BVnDaqqtmsXQPg3dcW-30sDGOumKIVFM","DriveAnon's 4chan Drive/2. EVERYONE ELSE'S JUMPS/3. Series/Stargate")</f>
        <v>DriveAnon's 4chan Drive/2. EVERYONE ELSE'S JUMPS/3. Series/Stargate</v>
      </c>
      <c r="B72" s="4" t="s">
        <v>32</v>
      </c>
      <c r="C72" s="4" t="s">
        <v>31</v>
      </c>
    </row>
    <row r="73">
      <c r="A73" s="12" t="str">
        <f>HYPERLINK("https://drive.google.com/drive/folders/1D0I7CWgQ3nY7Q9EO9A5eIRwnaaniNXJ_","DriveAnon's 4chan Drive/2. EVERYONE ELSE'S JUMPS/3. Series/Super Robot War")</f>
        <v>DriveAnon's 4chan Drive/2. EVERYONE ELSE'S JUMPS/3. Series/Super Robot War</v>
      </c>
      <c r="B73" s="4" t="s">
        <v>32</v>
      </c>
      <c r="C73" s="4" t="s">
        <v>31</v>
      </c>
    </row>
    <row r="74">
      <c r="A74" s="12" t="str">
        <f>HYPERLINK("https://drive.google.com/drive/folders/1bzWfv8OCeoBkabD6BOSSgMXHEnVW_p5D","DriveAnon's 4chan Drive/2. EVERYONE ELSE'S JUMPS/3. Series/Star Wars")</f>
        <v>DriveAnon's 4chan Drive/2. EVERYONE ELSE'S JUMPS/3. Series/Star Wars</v>
      </c>
      <c r="B74" s="4" t="s">
        <v>32</v>
      </c>
      <c r="C74" s="4" t="s">
        <v>31</v>
      </c>
    </row>
    <row r="75">
      <c r="A75" s="12" t="str">
        <f>HYPERLINK("https://drive.google.com/drive/folders/1gC0JgiMGshADzGMGdjUxkVF9QSi5m5I6","DriveAnon's 4chan Drive/2. EVERYONE ELSE'S JUMPS/3. Series/Star Trek")</f>
        <v>DriveAnon's 4chan Drive/2. EVERYONE ELSE'S JUMPS/3. Series/Star Trek</v>
      </c>
      <c r="B75" s="4" t="s">
        <v>32</v>
      </c>
      <c r="C75" s="4" t="s">
        <v>31</v>
      </c>
    </row>
    <row r="76">
      <c r="A76" s="12" t="str">
        <f>HYPERLINK("https://drive.google.com/drive/folders/1oJzSF_Oy9b9Te4cvpn9JgWcdC5XTPvq2","DriveAnon's 4chan Drive/2. EVERYONE ELSE'S JUMPS/3. Series/Spiral Knights")</f>
        <v>DriveAnon's 4chan Drive/2. EVERYONE ELSE'S JUMPS/3. Series/Spiral Knights</v>
      </c>
      <c r="B76" s="4" t="s">
        <v>32</v>
      </c>
      <c r="C76" s="4" t="s">
        <v>31</v>
      </c>
    </row>
    <row r="77">
      <c r="A77" s="12" t="str">
        <f>HYPERLINK("https://drive.google.com/drive/folders/1zuWHgpa7-8LLT9-GZD_JArGXNgenmJJo","DriveAnon's 4chan Drive/2. EVERYONE ELSE'S JUMPS/3. Series/Super Smash Bros")</f>
        <v>DriveAnon's 4chan Drive/2. EVERYONE ELSE'S JUMPS/3. Series/Super Smash Bros</v>
      </c>
      <c r="B77" s="4" t="s">
        <v>32</v>
      </c>
      <c r="C77" s="4" t="s">
        <v>31</v>
      </c>
    </row>
    <row r="78">
      <c r="A78" s="12" t="str">
        <f>HYPERLINK("https://drive.google.com/drive/folders/1CoWchCU-62LSWfOnQduroczBuH95qbs4","DriveAnon's 4chan Drive/2. EVERYONE ELSE'S JUMPS/3. Series/Skylanders")</f>
        <v>DriveAnon's 4chan Drive/2. EVERYONE ELSE'S JUMPS/3. Series/Skylanders</v>
      </c>
      <c r="B78" s="4" t="s">
        <v>32</v>
      </c>
      <c r="C78" s="4" t="s">
        <v>31</v>
      </c>
    </row>
    <row r="79">
      <c r="A79" s="12" t="str">
        <f>HYPERLINK("https://drive.google.com/drive/folders/1KxHlHdCs2-VPaqLJsdvTyxT4ywrc-_As","DriveAnon's 4chan Drive/2. EVERYONE ELSE'S JUMPS/3. Series/Shin Megami Tensei")</f>
        <v>DriveAnon's 4chan Drive/2. EVERYONE ELSE'S JUMPS/3. Series/Shin Megami Tensei</v>
      </c>
      <c r="B79" s="4" t="s">
        <v>32</v>
      </c>
      <c r="C79" s="4" t="s">
        <v>31</v>
      </c>
    </row>
    <row r="80">
      <c r="A80" s="12" t="str">
        <f>HYPERLINK("https://drive.google.com/drive/folders/1wRsvC3MtukHPrGcUKzINBaZEcBWK3s-3","DriveAnon's 4chan Drive/2. EVERYONE ELSE'S JUMPS/3. Series/Samurai Jack")</f>
        <v>DriveAnon's 4chan Drive/2. EVERYONE ELSE'S JUMPS/3. Series/Samurai Jack</v>
      </c>
      <c r="B80" s="4" t="s">
        <v>32</v>
      </c>
      <c r="C80" s="4" t="s">
        <v>31</v>
      </c>
    </row>
    <row r="81">
      <c r="A81" s="12" t="str">
        <f>HYPERLINK("https://drive.google.com/drive/folders/1evrESYhYv2h2YhZwsRAaH0klZAafC1bO","DriveAnon's 4chan Drive/2. EVERYONE ELSE'S JUMPS/3. Series/Saint Seiya")</f>
        <v>DriveAnon's 4chan Drive/2. EVERYONE ELSE'S JUMPS/3. Series/Saint Seiya</v>
      </c>
      <c r="B81" s="4" t="s">
        <v>32</v>
      </c>
      <c r="C81" s="4" t="s">
        <v>31</v>
      </c>
    </row>
    <row r="82">
      <c r="A82" s="12" t="str">
        <f>HYPERLINK("https://drive.google.com/drive/folders/1O8JdFGnNjPsUrbtpzdMEm21DJkBnjOx1","DriveAnon's 4chan Drive/2. EVERYONE ELSE'S JUMPS/3. Series/RWBY JumpChain")</f>
        <v>DriveAnon's 4chan Drive/2. EVERYONE ELSE'S JUMPS/3. Series/RWBY JumpChain</v>
      </c>
      <c r="B82" s="4" t="s">
        <v>32</v>
      </c>
      <c r="C82" s="4" t="s">
        <v>31</v>
      </c>
    </row>
    <row r="83">
      <c r="A83" s="12" t="str">
        <f>HYPERLINK("https://drive.google.com/drive/folders/1kmvBgrzPl3jAGhaQNWrJW9-ZZOgU-q-5","DriveAnon's 4chan Drive/2. EVERYONE ELSE'S JUMPS/3. Series/RWBY JumpChain/Old Jump")</f>
        <v>DriveAnon's 4chan Drive/2. EVERYONE ELSE'S JUMPS/3. Series/RWBY JumpChain/Old Jump</v>
      </c>
      <c r="B83" s="4" t="s">
        <v>32</v>
      </c>
      <c r="C83" s="4" t="s">
        <v>31</v>
      </c>
    </row>
    <row r="84">
      <c r="A84" s="12" t="str">
        <f>HYPERLINK("https://drive.google.com/drive/folders/1MuJicgFpjf3fhZL95tosbh1D4iPif5hi","DriveAnon's 4chan Drive/2. EVERYONE ELSE'S JUMPS/3. Series/Red Alert 3 Jumpchain")</f>
        <v>DriveAnon's 4chan Drive/2. EVERYONE ELSE'S JUMPS/3. Series/Red Alert 3 Jumpchain</v>
      </c>
      <c r="B84" s="4" t="s">
        <v>32</v>
      </c>
      <c r="C84" s="4" t="s">
        <v>31</v>
      </c>
    </row>
    <row r="85">
      <c r="A85" s="12" t="str">
        <f>HYPERLINK("https://drive.google.com/drive/folders/1FTIUcYLz6-sUUsOhMbDB0CttppDdFtwq","DriveAnon's 4chan Drive/2. EVERYONE ELSE'S JUMPS/3. Series/Percy Jackson")</f>
        <v>DriveAnon's 4chan Drive/2. EVERYONE ELSE'S JUMPS/3. Series/Percy Jackson</v>
      </c>
      <c r="B85" s="4" t="s">
        <v>32</v>
      </c>
      <c r="C85" s="4" t="s">
        <v>31</v>
      </c>
    </row>
    <row r="86">
      <c r="A86" s="12" t="str">
        <f>HYPERLINK("https://drive.google.com/drive/folders/1IJOV_sz7jM0vqorUiZRKQWoy4W8YR2C8","DriveAnon's 4chan Drive/2. EVERYONE ELSE'S JUMPS/3. Series/Pygmalion")</f>
        <v>DriveAnon's 4chan Drive/2. EVERYONE ELSE'S JUMPS/3. Series/Pygmalion</v>
      </c>
      <c r="B86" s="4" t="s">
        <v>32</v>
      </c>
      <c r="C86" s="4" t="s">
        <v>31</v>
      </c>
    </row>
    <row r="87">
      <c r="A87" s="12" t="str">
        <f>HYPERLINK("https://drive.google.com/drive/folders/1O3EF_uVhwKkPDOwbcH5DHvaBDjHtEGEq","DriveAnon's 4chan Drive/2. EVERYONE ELSE'S JUMPS/3. Series/Pokémon")</f>
        <v>DriveAnon's 4chan Drive/2. EVERYONE ELSE'S JUMPS/3. Series/Pokémon</v>
      </c>
      <c r="B87" s="4" t="s">
        <v>32</v>
      </c>
      <c r="C87" s="4" t="s">
        <v>31</v>
      </c>
    </row>
    <row r="88">
      <c r="A88" s="12" t="str">
        <f>HYPERLINK("https://drive.google.com/drive/folders/1R-u3DIMMqJ5KDrMpbFWCXsOwhRN-peI_","DriveAnon's 4chan Drive/2. EVERYONE ELSE'S JUMPS/3. Series/Power Rangers")</f>
        <v>DriveAnon's 4chan Drive/2. EVERYONE ELSE'S JUMPS/3. Series/Power Rangers</v>
      </c>
      <c r="B88" s="4" t="s">
        <v>32</v>
      </c>
      <c r="C88" s="4" t="s">
        <v>31</v>
      </c>
    </row>
    <row r="89">
      <c r="A89" s="12" t="str">
        <f>HYPERLINK("https://drive.google.com/drive/folders/1Yz6Bqvlj31phAwYQi3yHhorFks5sBqgI","DriveAnon's 4chan Drive/2. EVERYONE ELSE'S JUMPS/3. Series/Path of Exile")</f>
        <v>DriveAnon's 4chan Drive/2. EVERYONE ELSE'S JUMPS/3. Series/Path of Exile</v>
      </c>
      <c r="B89" s="4" t="s">
        <v>32</v>
      </c>
      <c r="C89" s="4" t="s">
        <v>31</v>
      </c>
    </row>
    <row r="90">
      <c r="A90" s="12" t="str">
        <f>HYPERLINK("https://drive.google.com/drive/folders/1kUVLOSBtA243ds_MzbcIwKTa3u8H0zef","DriveAnon's 4chan Drive/2. EVERYONE ELSE'S JUMPS/3. Series/Pirates of the Caribbean")</f>
        <v>DriveAnon's 4chan Drive/2. EVERYONE ELSE'S JUMPS/3. Series/Pirates of the Caribbean</v>
      </c>
      <c r="B90" s="4" t="s">
        <v>32</v>
      </c>
      <c r="C90" s="4" t="s">
        <v>31</v>
      </c>
    </row>
    <row r="91">
      <c r="A91" s="12" t="str">
        <f>HYPERLINK("https://drive.google.com/drive/folders/1sVvrmIbVcXi4pG5y0r_3TW9ijlZiMkUE","DriveAnon's 4chan Drive/2. EVERYONE ELSE'S JUMPS/3. Series/Persona")</f>
        <v>DriveAnon's 4chan Drive/2. EVERYONE ELSE'S JUMPS/3. Series/Persona</v>
      </c>
      <c r="B91" s="4" t="s">
        <v>32</v>
      </c>
      <c r="C91" s="4" t="s">
        <v>31</v>
      </c>
    </row>
    <row r="92">
      <c r="A92" s="12" t="str">
        <f>HYPERLINK("https://drive.google.com/drive/folders/1xKjTuVmO-kZ6NG5qD44NgcOzshyf5Pfg","DriveAnon's 4chan Drive/2. EVERYONE ELSE'S JUMPS/3. Series/Quest for Glory")</f>
        <v>DriveAnon's 4chan Drive/2. EVERYONE ELSE'S JUMPS/3. Series/Quest for Glory</v>
      </c>
      <c r="B92" s="4" t="s">
        <v>32</v>
      </c>
      <c r="C92" s="4" t="s">
        <v>31</v>
      </c>
    </row>
    <row r="93">
      <c r="A93" s="12" t="str">
        <f>HYPERLINK("https://drive.google.com/drive/folders/1588r-EwZl7YnuyLwZ_pbuFJ_-DmA59d9","DriveAnon's 4chan Drive/2. EVERYONE ELSE'S JUMPS/3. Series/Paradox Grand Strategy")</f>
        <v>DriveAnon's 4chan Drive/2. EVERYONE ELSE'S JUMPS/3. Series/Paradox Grand Strategy</v>
      </c>
      <c r="B93" s="4" t="s">
        <v>32</v>
      </c>
      <c r="C93" s="4" t="s">
        <v>31</v>
      </c>
    </row>
    <row r="94">
      <c r="A94" s="12" t="str">
        <f>HYPERLINK("https://drive.google.com/drive/folders/12H8lyQIkuy_dSIofWd4zPt6vdsSX_mi8","DriveAnon's 4chan Drive/2. EVERYONE ELSE'S JUMPS/3. Series/Pacific Rim JumpChain")</f>
        <v>DriveAnon's 4chan Drive/2. EVERYONE ELSE'S JUMPS/3. Series/Pacific Rim JumpChain</v>
      </c>
      <c r="B94" s="4" t="s">
        <v>32</v>
      </c>
      <c r="C94" s="4" t="s">
        <v>31</v>
      </c>
    </row>
    <row r="95">
      <c r="A95" s="12" t="str">
        <f>HYPERLINK("https://drive.google.com/drive/folders/1wlqM789Zk2BiM1tLEM7vr_nw5fg2Q-tB","DriveAnon's 4chan Drive/2. EVERYONE ELSE'S JUMPS/3. Series/Overlord")</f>
        <v>DriveAnon's 4chan Drive/2. EVERYONE ELSE'S JUMPS/3. Series/Overlord</v>
      </c>
      <c r="B95" s="4" t="s">
        <v>32</v>
      </c>
      <c r="C95" s="4" t="s">
        <v>31</v>
      </c>
    </row>
    <row r="96">
      <c r="A96" s="12" t="str">
        <f>HYPERLINK("https://drive.google.com/drive/folders/1r2uFrwU1qh-epsEy_NOtV5QvyMAg-Fj9","DriveAnon's 4chan Drive/2. EVERYONE ELSE'S JUMPS/3. Series/One Piece_")</f>
        <v>DriveAnon's 4chan Drive/2. EVERYONE ELSE'S JUMPS/3. Series/One Piece_</v>
      </c>
      <c r="B96" s="4" t="s">
        <v>32</v>
      </c>
      <c r="C96" s="4" t="s">
        <v>31</v>
      </c>
    </row>
    <row r="97">
      <c r="A97" s="12" t="str">
        <f>HYPERLINK("https://drive.google.com/drive/folders/1NOQ-9fl5KrTBRQsOp_B5a76_3g9YJalV","DriveAnon's 4chan Drive/2. EVERYONE ELSE'S JUMPS/3. Series/One Piece_/One Piece  (Old)")</f>
        <v>DriveAnon's 4chan Drive/2. EVERYONE ELSE'S JUMPS/3. Series/One Piece_/One Piece  (Old)</v>
      </c>
      <c r="B97" s="4" t="s">
        <v>32</v>
      </c>
      <c r="C97" s="4" t="s">
        <v>31</v>
      </c>
    </row>
    <row r="98">
      <c r="A98" s="12" t="str">
        <f>HYPERLINK("https://drive.google.com/drive/folders/13BTmOIFwg0kVGbzY3y-ov1VXgBmB7Sef","DriveAnon's 4chan Drive/2. EVERYONE ELSE'S JUMPS/3. Series/Mega Man")</f>
        <v>DriveAnon's 4chan Drive/2. EVERYONE ELSE'S JUMPS/3. Series/Mega Man</v>
      </c>
      <c r="B98" s="4" t="s">
        <v>32</v>
      </c>
      <c r="C98" s="4" t="s">
        <v>31</v>
      </c>
    </row>
    <row r="99">
      <c r="A99" s="12" t="str">
        <f>HYPERLINK("https://drive.google.com/drive/folders/1WADixf0aSGFfLlhdevXluvKsdMvzyvNS","DriveAnon's 4chan Drive/2. EVERYONE ELSE'S JUMPS/3. Series/Mega Man/Mega Man Classic")</f>
        <v>DriveAnon's 4chan Drive/2. EVERYONE ELSE'S JUMPS/3. Series/Mega Man/Mega Man Classic</v>
      </c>
      <c r="B99" s="4" t="s">
        <v>32</v>
      </c>
      <c r="C99" s="4" t="s">
        <v>31</v>
      </c>
    </row>
    <row r="100">
      <c r="A100" s="12" t="str">
        <f>HYPERLINK("https://drive.google.com/drive/folders/1eFf4xbIhqqOi4IodKqSsSq7Dj8DmafY0","DriveAnon's 4chan Drive/2. EVERYONE ELSE'S JUMPS/3. Series/Medaka Box")</f>
        <v>DriveAnon's 4chan Drive/2. EVERYONE ELSE'S JUMPS/3. Series/Medaka Box</v>
      </c>
      <c r="B100" s="4" t="s">
        <v>32</v>
      </c>
      <c r="C100" s="4" t="s">
        <v>31</v>
      </c>
    </row>
    <row r="101">
      <c r="A101" s="12" t="str">
        <f>HYPERLINK("https://drive.google.com/drive/folders/1Fh0LfFgZg_d-I3Gqwo03_o-teFGYiQUV","DriveAnon's 4chan Drive/2. EVERYONE ELSE'S JUMPS/3. Series/Night Angel")</f>
        <v>DriveAnon's 4chan Drive/2. EVERYONE ELSE'S JUMPS/3. Series/Night Angel</v>
      </c>
      <c r="B101" s="4" t="s">
        <v>32</v>
      </c>
      <c r="C101" s="4" t="s">
        <v>31</v>
      </c>
    </row>
    <row r="102">
      <c r="A102" s="12" t="str">
        <f>HYPERLINK("https://drive.google.com/drive/folders/1G_r4w7txQ1RuAz0_m3KupF_th9ZU9FQZ","DriveAnon's 4chan Drive/2. EVERYONE ELSE'S JUMPS/3. Series/Monster Hunter")</f>
        <v>DriveAnon's 4chan Drive/2. EVERYONE ELSE'S JUMPS/3. Series/Monster Hunter</v>
      </c>
      <c r="B102" s="4" t="s">
        <v>32</v>
      </c>
      <c r="C102" s="4" t="s">
        <v>31</v>
      </c>
    </row>
    <row r="103">
      <c r="A103" s="12" t="str">
        <f>HYPERLINK("https://drive.google.com/drive/folders/1XVIQSY5ehEVIk_pesDsoNeZEIFZZDT2L","DriveAnon's 4chan Drive/2. EVERYONE ELSE'S JUMPS/3. Series/Negima")</f>
        <v>DriveAnon's 4chan Drive/2. EVERYONE ELSE'S JUMPS/3. Series/Negima</v>
      </c>
      <c r="B103" s="4" t="s">
        <v>32</v>
      </c>
      <c r="C103" s="4" t="s">
        <v>31</v>
      </c>
    </row>
    <row r="104">
      <c r="A104" s="12" t="str">
        <f>HYPERLINK("https://drive.google.com/drive/folders/1c7eoCwq9nw9ABpSzAWuOEVyTx7butJ7I","DriveAnon's 4chan Drive/2. EVERYONE ELSE'S JUMPS/3. Series/MtG")</f>
        <v>DriveAnon's 4chan Drive/2. EVERYONE ELSE'S JUMPS/3. Series/MtG</v>
      </c>
      <c r="B104" s="4" t="s">
        <v>32</v>
      </c>
      <c r="C104" s="4" t="s">
        <v>31</v>
      </c>
    </row>
    <row r="105">
      <c r="A105" s="12" t="str">
        <f>HYPERLINK("https://drive.google.com/drive/folders/1dKAdqpx3FgzHtuCO1geNTEH7w5LFQmWq","DriveAnon's 4chan Drive/2. EVERYONE ELSE'S JUMPS/3. Series/Metal Slug")</f>
        <v>DriveAnon's 4chan Drive/2. EVERYONE ELSE'S JUMPS/3. Series/Metal Slug</v>
      </c>
      <c r="B105" s="4" t="s">
        <v>32</v>
      </c>
      <c r="C105" s="4" t="s">
        <v>31</v>
      </c>
    </row>
    <row r="106">
      <c r="A106" s="12" t="str">
        <f>HYPERLINK("https://drive.google.com/drive/folders/1ldjoOeMItep6efcQLIcVAjGu65uLjPVl","DriveAnon's 4chan Drive/2. EVERYONE ELSE'S JUMPS/3. Series/Needless")</f>
        <v>DriveAnon's 4chan Drive/2. EVERYONE ELSE'S JUMPS/3. Series/Needless</v>
      </c>
      <c r="B106" s="4" t="s">
        <v>32</v>
      </c>
      <c r="C106" s="4" t="s">
        <v>31</v>
      </c>
    </row>
    <row r="107">
      <c r="A107" s="12" t="str">
        <f>HYPERLINK("https://drive.google.com/drive/folders/1p3JXAkmu2wos0DCA1Aww7xJvXcXJvsn_","DriveAnon's 4chan Drive/2. EVERYONE ELSE'S JUMPS/3. Series/Metal Gear Solid")</f>
        <v>DriveAnon's 4chan Drive/2. EVERYONE ELSE'S JUMPS/3. Series/Metal Gear Solid</v>
      </c>
      <c r="B107" s="4" t="s">
        <v>32</v>
      </c>
      <c r="C107" s="4" t="s">
        <v>31</v>
      </c>
    </row>
    <row r="108">
      <c r="A108" s="12" t="str">
        <f>HYPERLINK("https://drive.google.com/drive/folders/1pt15Jo1XisHsK3L3F1jWPrW29y4vswY9","DriveAnon's 4chan Drive/2. EVERYONE ELSE'S JUMPS/3. Series/Mortal Kombat")</f>
        <v>DriveAnon's 4chan Drive/2. EVERYONE ELSE'S JUMPS/3. Series/Mortal Kombat</v>
      </c>
      <c r="B108" s="4" t="s">
        <v>32</v>
      </c>
      <c r="C108" s="4" t="s">
        <v>31</v>
      </c>
    </row>
    <row r="109">
      <c r="A109" s="12" t="str">
        <f>HYPERLINK("https://drive.google.com/drive/folders/15qCacaVJGuVIpNfvD9Ho2pNJuZ2wTcQ3","DriveAnon's 4chan Drive/2. EVERYONE ELSE'S JUMPS/3. Series/Mario")</f>
        <v>DriveAnon's 4chan Drive/2. EVERYONE ELSE'S JUMPS/3. Series/Mario</v>
      </c>
      <c r="B109" s="4" t="s">
        <v>32</v>
      </c>
      <c r="C109" s="4" t="s">
        <v>31</v>
      </c>
    </row>
    <row r="110">
      <c r="A110" s="12" t="str">
        <f>HYPERLINK("https://drive.google.com/drive/folders/1qlSPfOCMG-W2sM95CfyykcHvN_LocChi","DriveAnon's 4chan Drive/2. EVERYONE ELSE'S JUMPS/3. Series/Marvel")</f>
        <v>DriveAnon's 4chan Drive/2. EVERYONE ELSE'S JUMPS/3. Series/Marvel</v>
      </c>
      <c r="B110" s="4" t="s">
        <v>32</v>
      </c>
      <c r="C110" s="4" t="s">
        <v>31</v>
      </c>
    </row>
    <row r="111">
      <c r="A111" s="12" t="str">
        <f>HYPERLINK("https://drive.google.com/drive/folders/101fft_5ffW3ts-KBdWHA_C9nVlcGToDu","DriveAnon's 4chan Drive/2. EVERYONE ELSE'S JUMPS/3. Series/Marvel/Marvel Jump")</f>
        <v>DriveAnon's 4chan Drive/2. EVERYONE ELSE'S JUMPS/3. Series/Marvel/Marvel Jump</v>
      </c>
      <c r="B111" s="4" t="s">
        <v>32</v>
      </c>
      <c r="C111" s="4" t="s">
        <v>31</v>
      </c>
    </row>
    <row r="112">
      <c r="A112" s="12" t="str">
        <f>HYPERLINK("https://drive.google.com/drive/folders/11JXD5DLMJ2Qz0S11PeDJHdCx8A9KGD6p","DriveAnon's 4chan Drive/2. EVERYONE ELSE'S JUMPS/3. Series/Marvel/Marvel Cinematic Universe Jump")</f>
        <v>DriveAnon's 4chan Drive/2. EVERYONE ELSE'S JUMPS/3. Series/Marvel/Marvel Cinematic Universe Jump</v>
      </c>
      <c r="B112" s="4" t="s">
        <v>32</v>
      </c>
      <c r="C112" s="4" t="s">
        <v>31</v>
      </c>
    </row>
    <row r="113">
      <c r="A113" s="12" t="str">
        <f>HYPERLINK("https://drive.google.com/drive/folders/1IRcThM2bg69Cc50JAHTO16XIqacti5ZM","DriveAnon's 4chan Drive/2. EVERYONE ELSE'S JUMPS/3. Series/Magi")</f>
        <v>DriveAnon's 4chan Drive/2. EVERYONE ELSE'S JUMPS/3. Series/Magi</v>
      </c>
      <c r="B113" s="4" t="s">
        <v>32</v>
      </c>
      <c r="C113" s="4" t="s">
        <v>31</v>
      </c>
    </row>
    <row r="114">
      <c r="A114" s="12" t="str">
        <f>HYPERLINK("https://drive.google.com/drive/folders/17JMT24NZtF-8bVbwTCcEAhagqmmcrAcF","DriveAnon's 4chan Drive/2. EVERYONE ELSE'S JUMPS/3. Series/Madoka Magica")</f>
        <v>DriveAnon's 4chan Drive/2. EVERYONE ELSE'S JUMPS/3. Series/Madoka Magica</v>
      </c>
      <c r="B114" s="4" t="s">
        <v>32</v>
      </c>
      <c r="C114" s="4" t="s">
        <v>31</v>
      </c>
    </row>
    <row r="115">
      <c r="A115" s="12" t="str">
        <f>HYPERLINK("https://drive.google.com/drive/folders/10kqYzQq0bo2wjznkTKopQJhM6AjkTGZi","DriveAnon's 4chan Drive/2. EVERYONE ELSE'S JUMPS/3. Series/Lost Valley of the Dinosaurs")</f>
        <v>DriveAnon's 4chan Drive/2. EVERYONE ELSE'S JUMPS/3. Series/Lost Valley of the Dinosaurs</v>
      </c>
      <c r="B115" s="4" t="s">
        <v>32</v>
      </c>
      <c r="C115" s="4" t="s">
        <v>31</v>
      </c>
    </row>
    <row r="116">
      <c r="A116" s="12" t="str">
        <f>HYPERLINK("https://drive.google.com/drive/folders/11DHXXLFVuMDaMGOTzR0-UUw9m8u6LxKG","DriveAnon's 4chan Drive/2. EVERYONE ELSE'S JUMPS/3. Series/Legend of Zelda")</f>
        <v>DriveAnon's 4chan Drive/2. EVERYONE ELSE'S JUMPS/3. Series/Legend of Zelda</v>
      </c>
      <c r="B116" s="4" t="s">
        <v>32</v>
      </c>
      <c r="C116" s="4" t="s">
        <v>31</v>
      </c>
    </row>
    <row r="117">
      <c r="A117" s="12" t="str">
        <f>HYPERLINK("https://drive.google.com/drive/folders/1CtjloXJkUdnUE-GzE3MPJj8F5l2iI7zK","DriveAnon's 4chan Drive/2. EVERYONE ELSE'S JUMPS/3. Series/Lovecraft")</f>
        <v>DriveAnon's 4chan Drive/2. EVERYONE ELSE'S JUMPS/3. Series/Lovecraft</v>
      </c>
      <c r="B117" s="4" t="s">
        <v>32</v>
      </c>
      <c r="C117" s="4" t="s">
        <v>31</v>
      </c>
    </row>
    <row r="118">
      <c r="A118" s="12" t="str">
        <f>HYPERLINK("https://drive.google.com/drive/folders/1LisqPCWyPtAmHhTDO9iMDRIBR_9e8cOp","DriveAnon's 4chan Drive/2. EVERYONE ELSE'S JUMPS/3. Series/Legend of Spyro")</f>
        <v>DriveAnon's 4chan Drive/2. EVERYONE ELSE'S JUMPS/3. Series/Legend of Spyro</v>
      </c>
      <c r="B118" s="4" t="s">
        <v>32</v>
      </c>
      <c r="C118" s="4" t="s">
        <v>31</v>
      </c>
    </row>
    <row r="119">
      <c r="A119" s="12" t="str">
        <f>HYPERLINK("https://drive.google.com/drive/folders/1bWB87cqdLxhHANqbepb-3Ap0kJbrBzLf","DriveAnon's 4chan Drive/2. EVERYONE ELSE'S JUMPS/3. Series/League of Legends")</f>
        <v>DriveAnon's 4chan Drive/2. EVERYONE ELSE'S JUMPS/3. Series/League of Legends</v>
      </c>
      <c r="B119" s="4" t="s">
        <v>32</v>
      </c>
      <c r="C119" s="4" t="s">
        <v>31</v>
      </c>
    </row>
    <row r="120">
      <c r="A120" s="12" t="str">
        <f>HYPERLINK("https://drive.google.com/drive/folders/1eAgS7iUgz7zEXhU9Lklje7qYnnIIh4tT","DriveAnon's 4chan Drive/2. EVERYONE ELSE'S JUMPS/3. Series/King Arthur JumpChain")</f>
        <v>DriveAnon's 4chan Drive/2. EVERYONE ELSE'S JUMPS/3. Series/King Arthur JumpChain</v>
      </c>
      <c r="B120" s="4" t="s">
        <v>32</v>
      </c>
      <c r="C120" s="4" t="s">
        <v>31</v>
      </c>
    </row>
    <row r="121">
      <c r="A121" s="12" t="str">
        <f>HYPERLINK("https://drive.google.com/drive/folders/1pFYdnsuWgsJD4fopidTZHrZ1xVwFYD5w","DriveAnon's 4chan Drive/2. EVERYONE ELSE'S JUMPS/3. Series/Kingdom Hearts")</f>
        <v>DriveAnon's 4chan Drive/2. EVERYONE ELSE'S JUMPS/3. Series/Kingdom Hearts</v>
      </c>
      <c r="B121" s="4" t="s">
        <v>32</v>
      </c>
      <c r="C121" s="4" t="s">
        <v>31</v>
      </c>
    </row>
    <row r="122">
      <c r="A122" s="12" t="str">
        <f>HYPERLINK("https://drive.google.com/drive/folders/1soMugKgiTmY2CIyHhF1eYbcWewbhHu_j","DriveAnon's 4chan Drive/2. EVERYONE ELSE'S JUMPS/3. Series/Lord of the Rings")</f>
        <v>DriveAnon's 4chan Drive/2. EVERYONE ELSE'S JUMPS/3. Series/Lord of the Rings</v>
      </c>
      <c r="B122" s="4" t="s">
        <v>32</v>
      </c>
      <c r="C122" s="4" t="s">
        <v>31</v>
      </c>
    </row>
    <row r="123">
      <c r="A123" s="12" t="str">
        <f>HYPERLINK("https://drive.google.com/drive/folders/13-9GCmBv40Nr4kTtLcbxXXUefOdp1U7h","DriveAnon's 4chan Drive/2. EVERYONE ELSE'S JUMPS/3. Series/Heroes of Might and Magic")</f>
        <v>DriveAnon's 4chan Drive/2. EVERYONE ELSE'S JUMPS/3. Series/Heroes of Might and Magic</v>
      </c>
      <c r="B123" s="4" t="s">
        <v>32</v>
      </c>
      <c r="C123" s="4" t="s">
        <v>31</v>
      </c>
    </row>
    <row r="124">
      <c r="A124" s="12" t="str">
        <f>HYPERLINK("https://drive.google.com/drive/folders/1LA_dykF-ljPTIJ5UYf6HWJYLWRuX0FNu","DriveAnon's 4chan Drive/2. EVERYONE ELSE'S JUMPS/3. Series/Jo Jo")</f>
        <v>DriveAnon's 4chan Drive/2. EVERYONE ELSE'S JUMPS/3. Series/Jo Jo</v>
      </c>
      <c r="B124" s="4" t="s">
        <v>32</v>
      </c>
      <c r="C124" s="4" t="s">
        <v>31</v>
      </c>
    </row>
    <row r="125">
      <c r="A125" s="12" t="str">
        <f>HYPERLINK("https://drive.google.com/drive/folders/1Yk914uGd94DLC6bOkKqFKP6WKZy9ntZD","DriveAnon's 4chan Drive/2. EVERYONE ELSE'S JUMPS/3. Series/Humongous Entertainment")</f>
        <v>DriveAnon's 4chan Drive/2. EVERYONE ELSE'S JUMPS/3. Series/Humongous Entertainment</v>
      </c>
      <c r="B125" s="4" t="s">
        <v>32</v>
      </c>
      <c r="C125" s="4" t="s">
        <v>31</v>
      </c>
    </row>
    <row r="126">
      <c r="A126" s="12" t="str">
        <f>HYPERLINK("https://drive.google.com/drive/folders/1eCm9KsQ6nn_rFjh86wQ3lUIwsLIP3tg6","DriveAnon's 4chan Drive/2. EVERYONE ELSE'S JUMPS/3. Series/Hollow Knight")</f>
        <v>DriveAnon's 4chan Drive/2. EVERYONE ELSE'S JUMPS/3. Series/Hollow Knight</v>
      </c>
      <c r="B126" s="4" t="s">
        <v>32</v>
      </c>
      <c r="C126" s="4" t="s">
        <v>31</v>
      </c>
    </row>
    <row r="127">
      <c r="A127" s="12" t="str">
        <f>HYPERLINK("https://drive.google.com/drive/folders/1mGHZddVERzSMg1rTl0kUcQxcT9UAj26x","DriveAnon's 4chan Drive/2. EVERYONE ELSE'S JUMPS/3. Series/How to Train Your Dragon")</f>
        <v>DriveAnon's 4chan Drive/2. EVERYONE ELSE'S JUMPS/3. Series/How to Train Your Dragon</v>
      </c>
      <c r="B127" s="4" t="s">
        <v>32</v>
      </c>
      <c r="C127" s="4" t="s">
        <v>31</v>
      </c>
    </row>
    <row r="128">
      <c r="A128" s="12" t="str">
        <f>HYPERLINK("https://drive.google.com/drive/folders/1GHVuQJ8pQX57bUZmywEGc9u-J9jRDeed","DriveAnon's 4chan Drive/2. EVERYONE ELSE'S JUMPS/3. Series/Kamen Rider")</f>
        <v>DriveAnon's 4chan Drive/2. EVERYONE ELSE'S JUMPS/3. Series/Kamen Rider</v>
      </c>
      <c r="B128" s="4" t="s">
        <v>32</v>
      </c>
      <c r="C128" s="4" t="s">
        <v>31</v>
      </c>
    </row>
    <row r="129">
      <c r="A129" s="12" t="str">
        <f>HYPERLINK("https://drive.google.com/drive/folders/1I0q9cXFvW2rmyIsHhKHiKXJVMO_4quE4","DriveAnon's 4chan Drive/2. EVERYONE ELSE'S JUMPS/3. Series/Kamen Rider/Kamen Rider Heisei")</f>
        <v>DriveAnon's 4chan Drive/2. EVERYONE ELSE'S JUMPS/3. Series/Kamen Rider/Kamen Rider Heisei</v>
      </c>
      <c r="B129" s="4" t="s">
        <v>32</v>
      </c>
      <c r="C129" s="4" t="s">
        <v>31</v>
      </c>
    </row>
    <row r="130">
      <c r="A130" s="12" t="str">
        <f>HYPERLINK("https://drive.google.com/drive/folders/1eams_jsM1dGKR_fsXSds4UyJXzIA38ra","DriveAnon's 4chan Drive/2. EVERYONE ELSE'S JUMPS/3. Series/Kamen Rider/Showa Kamen Rider")</f>
        <v>DriveAnon's 4chan Drive/2. EVERYONE ELSE'S JUMPS/3. Series/Kamen Rider/Showa Kamen Rider</v>
      </c>
      <c r="B130" s="4" t="s">
        <v>32</v>
      </c>
      <c r="C130" s="4" t="s">
        <v>31</v>
      </c>
    </row>
    <row r="131">
      <c r="A131" s="12" t="str">
        <f>HYPERLINK("https://drive.google.com/drive/folders/1xiy-s5qHODqjwrVoEqud6a6jKvDGAD2I","DriveAnon's 4chan Drive/2. EVERYONE ELSE'S JUMPS/3. Series/Kamen Rider/Kamen Rider Neo-Heisei")</f>
        <v>DriveAnon's 4chan Drive/2. EVERYONE ELSE'S JUMPS/3. Series/Kamen Rider/Kamen Rider Neo-Heisei</v>
      </c>
      <c r="B131" s="4" t="s">
        <v>32</v>
      </c>
      <c r="C131" s="4" t="s">
        <v>31</v>
      </c>
    </row>
    <row r="132">
      <c r="A132" s="12" t="str">
        <f>HYPERLINK("https://drive.google.com/drive/folders/1Q3TcTj8GylQh7sdEI3-EHGc6bWjUJkTt","DriveAnon's 4chan Drive/2. EVERYONE ELSE'S JUMPS/3. Series/Harry Potter")</f>
        <v>DriveAnon's 4chan Drive/2. EVERYONE ELSE'S JUMPS/3. Series/Harry Potter</v>
      </c>
      <c r="B132" s="4" t="s">
        <v>32</v>
      </c>
      <c r="C132" s="4" t="s">
        <v>31</v>
      </c>
    </row>
    <row r="133">
      <c r="A133" s="12" t="str">
        <f>HYPERLINK("https://drive.google.com/drive/folders/1mLbFInzvJjTueCbUIEMo5wawgNkL797z","DriveAnon's 4chan Drive/2. EVERYONE ELSE'S JUMPS/3. Series/Idolmaster")</f>
        <v>DriveAnon's 4chan Drive/2. EVERYONE ELSE'S JUMPS/3. Series/Idolmaster</v>
      </c>
      <c r="B133" s="4" t="s">
        <v>32</v>
      </c>
      <c r="C133" s="4" t="s">
        <v>31</v>
      </c>
    </row>
    <row r="134">
      <c r="A134" s="12" t="str">
        <f>HYPERLINK("https://drive.google.com/drive/folders/1vvfEVBTAEzqs86gViNPNHk-sbLIUwKwd","DriveAnon's 4chan Drive/2. EVERYONE ELSE'S JUMPS/3. Series/Halo")</f>
        <v>DriveAnon's 4chan Drive/2. EVERYONE ELSE'S JUMPS/3. Series/Halo</v>
      </c>
      <c r="B134" s="4" t="s">
        <v>32</v>
      </c>
      <c r="C134" s="4" t="s">
        <v>31</v>
      </c>
    </row>
    <row r="135">
      <c r="A135" s="12" t="str">
        <f>HYPERLINK("https://drive.google.com/drive/folders/1ogupFjHZNlJYWDja5JVg9Mu3Y74SevQ-","DriveAnon's 4chan Drive/2. EVERYONE ELSE'S JUMPS/3. Series/Gurren Lagann")</f>
        <v>DriveAnon's 4chan Drive/2. EVERYONE ELSE'S JUMPS/3. Series/Gurren Lagann</v>
      </c>
      <c r="B135" s="4" t="s">
        <v>32</v>
      </c>
      <c r="C135" s="4" t="s">
        <v>31</v>
      </c>
    </row>
    <row r="136">
      <c r="A136" s="12" t="str">
        <f>HYPERLINK("https://drive.google.com/drive/folders/1iglCdpAwkptmRYfNXRmkUdajjylWdBhq","DriveAnon's 4chan Drive/2. EVERYONE ELSE'S JUMPS/3. Series/GURPS")</f>
        <v>DriveAnon's 4chan Drive/2. EVERYONE ELSE'S JUMPS/3. Series/GURPS</v>
      </c>
      <c r="B136" s="4" t="s">
        <v>32</v>
      </c>
      <c r="C136" s="4" t="s">
        <v>31</v>
      </c>
    </row>
    <row r="137">
      <c r="A137" s="12" t="str">
        <f>HYPERLINK("https://drive.google.com/drive/folders/1VqYKqEa_bnxzBkugvYB5lXCNa32Ml3c8","DriveAnon's 4chan Drive/2. EVERYONE ELSE'S JUMPS/3. Series/Gungrave")</f>
        <v>DriveAnon's 4chan Drive/2. EVERYONE ELSE'S JUMPS/3. Series/Gungrave</v>
      </c>
      <c r="B137" s="4" t="s">
        <v>32</v>
      </c>
      <c r="C137" s="4" t="s">
        <v>31</v>
      </c>
    </row>
    <row r="138">
      <c r="A138" s="12" t="str">
        <f>HYPERLINK("https://drive.google.com/drive/folders/1ZJkd_PqiMm2L7I-mQyR27fQxEHl4OoiY","DriveAnon's 4chan Drive/2. EVERYONE ELSE'S JUMPS/3. Series/Gundam")</f>
        <v>DriveAnon's 4chan Drive/2. EVERYONE ELSE'S JUMPS/3. Series/Gundam</v>
      </c>
      <c r="B138" s="4" t="s">
        <v>32</v>
      </c>
      <c r="C138" s="4" t="s">
        <v>31</v>
      </c>
    </row>
    <row r="139">
      <c r="A139" s="12" t="str">
        <f>HYPERLINK("https://drive.google.com/drive/folders/1M-mgmLM3wMCFUFERS7QRFtZrib53v3FM","DriveAnon's 4chan Drive/2. EVERYONE ELSE'S JUMPS/3. Series/Great Thousand Worlds")</f>
        <v>DriveAnon's 4chan Drive/2. EVERYONE ELSE'S JUMPS/3. Series/Great Thousand Worlds</v>
      </c>
      <c r="B139" s="4" t="s">
        <v>32</v>
      </c>
      <c r="C139" s="4" t="s">
        <v>31</v>
      </c>
    </row>
    <row r="140">
      <c r="A140" s="12" t="str">
        <f>HYPERLINK("https://drive.google.com/drive/folders/1-AM6_-VFBOnTdk5AMV5A6JMW7JAYdygE","DriveAnon's 4chan Drive/2. EVERYONE ELSE'S JUMPS/3. Series/Godzilla")</f>
        <v>DriveAnon's 4chan Drive/2. EVERYONE ELSE'S JUMPS/3. Series/Godzilla</v>
      </c>
      <c r="B140" s="4" t="s">
        <v>32</v>
      </c>
      <c r="C140" s="4" t="s">
        <v>31</v>
      </c>
    </row>
    <row r="141">
      <c r="A141" s="12" t="str">
        <f>HYPERLINK("https://drive.google.com/drive/folders/1CdGvKxCOFEj-UhWTZrtNFmo9CiVADNx2","DriveAnon's 4chan Drive/2. EVERYONE ELSE'S JUMPS/3. Series/Final Fantasy")</f>
        <v>DriveAnon's 4chan Drive/2. EVERYONE ELSE'S JUMPS/3. Series/Final Fantasy</v>
      </c>
      <c r="B141" s="4" t="s">
        <v>32</v>
      </c>
      <c r="C141" s="4" t="s">
        <v>31</v>
      </c>
    </row>
    <row r="142">
      <c r="A142" s="12" t="str">
        <f>HYPERLINK("https://drive.google.com/drive/folders/1hYHOv6i_rUHoH0viBp1VW5XJXqZ-F9h3","DriveAnon's 4chan Drive/2. EVERYONE ELSE'S JUMPS/3. Series/Final Fantasy/Final Fantasy Tactics Advance")</f>
        <v>DriveAnon's 4chan Drive/2. EVERYONE ELSE'S JUMPS/3. Series/Final Fantasy/Final Fantasy Tactics Advance</v>
      </c>
      <c r="B142" s="4" t="s">
        <v>32</v>
      </c>
      <c r="C142" s="4" t="s">
        <v>31</v>
      </c>
    </row>
    <row r="143">
      <c r="A143" s="12" t="str">
        <f>HYPERLINK("https://drive.google.com/drive/folders/1rurgUg0JVAYB5HYbyZTjfFaw7gVWTjlv","DriveAnon's 4chan Drive/2. EVERYONE ELSE'S JUMPS/3. Series/Final Fantasy/Final Fantasy Tactics Advance/Old Versions")</f>
        <v>DriveAnon's 4chan Drive/2. EVERYONE ELSE'S JUMPS/3. Series/Final Fantasy/Final Fantasy Tactics Advance/Old Versions</v>
      </c>
      <c r="B143" s="4" t="s">
        <v>32</v>
      </c>
      <c r="C143" s="4" t="s">
        <v>31</v>
      </c>
    </row>
    <row r="144">
      <c r="A144" s="12" t="str">
        <f>HYPERLINK("https://drive.google.com/drive/folders/1JoC1-NfR-WiHuIDWuCuSNa806g36n0ty","DriveAnon's 4chan Drive/2. EVERYONE ELSE'S JUMPS/3. Series/Fallen London")</f>
        <v>DriveAnon's 4chan Drive/2. EVERYONE ELSE'S JUMPS/3. Series/Fallen London</v>
      </c>
      <c r="B144" s="4" t="s">
        <v>32</v>
      </c>
      <c r="C144" s="4" t="s">
        <v>31</v>
      </c>
    </row>
    <row r="145">
      <c r="A145" s="12" t="str">
        <f>HYPERLINK("https://drive.google.com/drive/folders/1QBtMefs5Zr51qf29zOjH55iYvRt5vnD2","DriveAnon's 4chan Drive/2. EVERYONE ELSE'S JUMPS/3. Series/Fire Emblem")</f>
        <v>DriveAnon's 4chan Drive/2. EVERYONE ELSE'S JUMPS/3. Series/Fire Emblem</v>
      </c>
      <c r="B145" s="4" t="s">
        <v>32</v>
      </c>
      <c r="C145" s="4" t="s">
        <v>31</v>
      </c>
    </row>
    <row r="146">
      <c r="A146" s="12" t="str">
        <f>HYPERLINK("https://drive.google.com/drive/folders/1voTLIWzI3CgiyhsnJKRFY8u2o8JtSNxv","DriveAnon's 4chan Drive/2. EVERYONE ELSE'S JUMPS/3. Series/Fire Emblem/Fire Emblem")</f>
        <v>DriveAnon's 4chan Drive/2. EVERYONE ELSE'S JUMPS/3. Series/Fire Emblem/Fire Emblem</v>
      </c>
      <c r="B146" s="4" t="s">
        <v>32</v>
      </c>
      <c r="C146" s="4" t="s">
        <v>31</v>
      </c>
    </row>
    <row r="147">
      <c r="A147" s="12" t="str">
        <f>HYPERLINK("https://drive.google.com/drive/folders/1W3IruXZJh8GkKheEOXelbvLzjd9goSYF","DriveAnon's 4chan Drive/2. EVERYONE ELSE'S JUMPS/3. Series/Gemcraft")</f>
        <v>DriveAnon's 4chan Drive/2. EVERYONE ELSE'S JUMPS/3. Series/Gemcraft</v>
      </c>
      <c r="B147" s="4" t="s">
        <v>32</v>
      </c>
      <c r="C147" s="4" t="s">
        <v>31</v>
      </c>
    </row>
    <row r="148">
      <c r="A148" s="12" t="str">
        <f>HYPERLINK("https://drive.google.com/drive/folders/1i1IjtiLLrW3pJZX0VTq_UybrE26adn2W","DriveAnon's 4chan Drive/2. EVERYONE ELSE'S JUMPS/3. Series/God Hand")</f>
        <v>DriveAnon's 4chan Drive/2. EVERYONE ELSE'S JUMPS/3. Series/God Hand</v>
      </c>
      <c r="B148" s="4" t="s">
        <v>32</v>
      </c>
      <c r="C148" s="4" t="s">
        <v>31</v>
      </c>
    </row>
    <row r="149">
      <c r="A149" s="12" t="str">
        <f>HYPERLINK("https://drive.google.com/drive/folders/1pfm8kXLzs9cq3DMsEOGAcNmzUKbBXpGD","DriveAnon's 4chan Drive/2. EVERYONE ELSE'S JUMPS/3. Series/Generic _Fill in the Blank_ Jumps")</f>
        <v>DriveAnon's 4chan Drive/2. EVERYONE ELSE'S JUMPS/3. Series/Generic _Fill in the Blank_ Jumps</v>
      </c>
      <c r="B149" s="4" t="s">
        <v>32</v>
      </c>
      <c r="C149" s="4" t="s">
        <v>31</v>
      </c>
    </row>
    <row r="150">
      <c r="A150" s="12" t="str">
        <f>HYPERLINK("https://drive.google.com/drive/folders/1EYVWUcEr11lskM614QUi3lBcB01ZSNtV","DriveAnon's 4chan Drive/2. EVERYONE ELSE'S JUMPS/3. Series/Generic _Fill in the Blank_ Jumps/Generic Creepypasta")</f>
        <v>DriveAnon's 4chan Drive/2. EVERYONE ELSE'S JUMPS/3. Series/Generic _Fill in the Blank_ Jumps/Generic Creepypasta</v>
      </c>
      <c r="B150" s="4" t="s">
        <v>32</v>
      </c>
      <c r="C150" s="4" t="s">
        <v>31</v>
      </c>
    </row>
    <row r="151">
      <c r="A151" s="12" t="str">
        <f>HYPERLINK("https://drive.google.com/drive/folders/1qoXGj9pdiq7oxJgdglCGBQx0urVv5520","DriveAnon's 4chan Drive/2. EVERYONE ELSE'S JUMPS/3. Series/Fullmetal Alchemist")</f>
        <v>DriveAnon's 4chan Drive/2. EVERYONE ELSE'S JUMPS/3. Series/Fullmetal Alchemist</v>
      </c>
      <c r="B151" s="4" t="s">
        <v>32</v>
      </c>
      <c r="C151" s="4" t="s">
        <v>31</v>
      </c>
    </row>
    <row r="152">
      <c r="A152" s="12" t="str">
        <f>HYPERLINK("https://drive.google.com/drive/folders/1xpOSKo_PA7P-I3qjVErEuwJJd4kHh0Hv","DriveAnon's 4chan Drive/2. EVERYONE ELSE'S JUMPS/3. Series/Fallout")</f>
        <v>DriveAnon's 4chan Drive/2. EVERYONE ELSE'S JUMPS/3. Series/Fallout</v>
      </c>
      <c r="B152" s="4" t="s">
        <v>32</v>
      </c>
      <c r="C152" s="4" t="s">
        <v>31</v>
      </c>
    </row>
    <row r="153">
      <c r="A153" s="12" t="str">
        <f>HYPERLINK("https://drive.google.com/drive/folders/1NczT_Noyj1UFP4aooEbDwWUt0oLCT48Y","DriveAnon's 4chan Drive/2. EVERYONE ELSE'S JUMPS/3. Series/Fall from Heaven")</f>
        <v>DriveAnon's 4chan Drive/2. EVERYONE ELSE'S JUMPS/3. Series/Fall from Heaven</v>
      </c>
      <c r="B153" s="4" t="s">
        <v>32</v>
      </c>
      <c r="C153" s="4" t="s">
        <v>31</v>
      </c>
    </row>
    <row r="154">
      <c r="A154" s="12" t="str">
        <f>HYPERLINK("https://drive.google.com/drive/folders/15jFPWJSWPnsPTs7MSwlqbIUaS3lGOWHe","DriveAnon's 4chan Drive/2. EVERYONE ELSE'S JUMPS/3. Series/Exalted")</f>
        <v>DriveAnon's 4chan Drive/2. EVERYONE ELSE'S JUMPS/3. Series/Exalted</v>
      </c>
      <c r="B154" s="4" t="s">
        <v>32</v>
      </c>
      <c r="C154" s="4" t="s">
        <v>31</v>
      </c>
    </row>
    <row r="155">
      <c r="A155" s="12" t="str">
        <f>HYPERLINK("https://drive.google.com/drive/folders/1W-46fNuLwYj5C8C6v-BSh2ZDA7R2D0Z1","DriveAnon's 4chan Drive/2. EVERYONE ELSE'S JUMPS/3. Series/Escaflowne")</f>
        <v>DriveAnon's 4chan Drive/2. EVERYONE ELSE'S JUMPS/3. Series/Escaflowne</v>
      </c>
      <c r="B155" s="4" t="s">
        <v>32</v>
      </c>
      <c r="C155" s="4" t="s">
        <v>31</v>
      </c>
    </row>
    <row r="156">
      <c r="A156" s="12" t="str">
        <f>HYPERLINK("https://drive.google.com/drive/folders/1JtP_5L-ZwxhQ-vgHdy2Vp4_NOrzfV2eW","DriveAnon's 4chan Drive/2. EVERYONE ELSE'S JUMPS/3. Series/Etrian Odyssey")</f>
        <v>DriveAnon's 4chan Drive/2. EVERYONE ELSE'S JUMPS/3. Series/Etrian Odyssey</v>
      </c>
      <c r="B156" s="4" t="s">
        <v>32</v>
      </c>
      <c r="C156" s="4" t="s">
        <v>31</v>
      </c>
    </row>
    <row r="157">
      <c r="A157" s="12" t="str">
        <f>HYPERLINK("https://drive.google.com/drive/folders/15DIoS9vK8G0JOCoxO_3tV6UHKzwCWHe-","DriveAnon's 4chan Drive/2. EVERYONE ELSE'S JUMPS/3. Series/Divinity")</f>
        <v>DriveAnon's 4chan Drive/2. EVERYONE ELSE'S JUMPS/3. Series/Divinity</v>
      </c>
      <c r="B157" s="4" t="s">
        <v>32</v>
      </c>
      <c r="C157" s="4" t="s">
        <v>31</v>
      </c>
    </row>
    <row r="158">
      <c r="A158" s="12" t="str">
        <f>HYPERLINK("https://drive.google.com/drive/folders/17_Qgkw4tG6VrsctOLcBpytLwrLbdmd9B","DriveAnon's 4chan Drive/2. EVERYONE ELSE'S JUMPS/3. Series/Dragon Age")</f>
        <v>DriveAnon's 4chan Drive/2. EVERYONE ELSE'S JUMPS/3. Series/Dragon Age</v>
      </c>
      <c r="B158" s="4" t="s">
        <v>32</v>
      </c>
      <c r="C158" s="4" t="s">
        <v>31</v>
      </c>
    </row>
    <row r="159">
      <c r="A159" s="12" t="str">
        <f>HYPERLINK("https://drive.google.com/drive/folders/1BYysQ-PDM1h2KEZ5m4ZPb30IpP8WucOw","DriveAnon's 4chan Drive/2. EVERYONE ELSE'S JUMPS/3. Series/Disney Animated")</f>
        <v>DriveAnon's 4chan Drive/2. EVERYONE ELSE'S JUMPS/3. Series/Disney Animated</v>
      </c>
      <c r="B159" s="4" t="s">
        <v>32</v>
      </c>
      <c r="C159" s="4" t="s">
        <v>31</v>
      </c>
    </row>
    <row r="160">
      <c r="A160" s="12" t="str">
        <f>HYPERLINK("https://drive.google.com/drive/folders/1fB4_r5wMe0XYpwWosYoSMT19QzCR373w","DriveAnon's 4chan Drive/2. EVERYONE ELSE'S JUMPS/3. Series/Disney Animated/Frozen")</f>
        <v>DriveAnon's 4chan Drive/2. EVERYONE ELSE'S JUMPS/3. Series/Disney Animated/Frozen</v>
      </c>
      <c r="B160" s="4" t="s">
        <v>32</v>
      </c>
      <c r="C160" s="4" t="s">
        <v>31</v>
      </c>
    </row>
    <row r="161">
      <c r="A161" s="12" t="str">
        <f>HYPERLINK("https://drive.google.com/drive/folders/1CqxrQ2U5pWAelFShffpiDJ1_lTGYoxfd","DriveAnon's 4chan Drive/2. EVERYONE ELSE'S JUMPS/3. Series/Egyptian mythology")</f>
        <v>DriveAnon's 4chan Drive/2. EVERYONE ELSE'S JUMPS/3. Series/Egyptian mythology</v>
      </c>
      <c r="B161" s="4" t="s">
        <v>32</v>
      </c>
      <c r="C161" s="4" t="s">
        <v>31</v>
      </c>
    </row>
    <row r="162">
      <c r="A162" s="12" t="str">
        <f>HYPERLINK("https://drive.google.com/drive/folders/1RHCskIqvJHzrFyJRbZvpdQaXbyzMGBt_","DriveAnon's 4chan Drive/2. EVERYONE ELSE'S JUMPS/3. Series/DnD")</f>
        <v>DriveAnon's 4chan Drive/2. EVERYONE ELSE'S JUMPS/3. Series/DnD</v>
      </c>
      <c r="B162" s="4" t="s">
        <v>32</v>
      </c>
      <c r="C162" s="4" t="s">
        <v>31</v>
      </c>
    </row>
    <row r="163">
      <c r="A163" s="12" t="str">
        <f>HYPERLINK("https://drive.google.com/drive/folders/1W5dFjU1e1HOR-iBcyRM0bcE853Jl96ns","DriveAnon's 4chan Drive/2. EVERYONE ELSE'S JUMPS/3. Series/Donkey Kong")</f>
        <v>DriveAnon's 4chan Drive/2. EVERYONE ELSE'S JUMPS/3. Series/Donkey Kong</v>
      </c>
      <c r="B163" s="4" t="s">
        <v>32</v>
      </c>
      <c r="C163" s="4" t="s">
        <v>31</v>
      </c>
    </row>
    <row r="164">
      <c r="A164" s="12" t="str">
        <f>HYPERLINK("https://drive.google.com/drive/folders/1iTzQBHqj7jFrskNCl-C_uEbHZvE8A-aw","DriveAnon's 4chan Drive/2. EVERYONE ELSE'S JUMPS/3. Series/DOOM")</f>
        <v>DriveAnon's 4chan Drive/2. EVERYONE ELSE'S JUMPS/3. Series/DOOM</v>
      </c>
      <c r="B164" s="4" t="s">
        <v>32</v>
      </c>
      <c r="C164" s="4" t="s">
        <v>31</v>
      </c>
    </row>
    <row r="165">
      <c r="A165" s="12" t="str">
        <f>HYPERLINK("https://drive.google.com/drive/folders/1kdqWIqJVVtnmH5MVQ6hKKSQI3i7QkZ4u","DriveAnon's 4chan Drive/2. EVERYONE ELSE'S JUMPS/3. Series/Dragon Ball")</f>
        <v>DriveAnon's 4chan Drive/2. EVERYONE ELSE'S JUMPS/3. Series/Dragon Ball</v>
      </c>
      <c r="B165" s="4" t="s">
        <v>32</v>
      </c>
      <c r="C165" s="4" t="s">
        <v>31</v>
      </c>
    </row>
    <row r="166">
      <c r="A166" s="12" t="str">
        <f>HYPERLINK("https://drive.google.com/drive/folders/1-tyHKaLpo1IWbSU7YRiU3AiNnacKW5VB","DriveAnon's 4chan Drive/2. EVERYONE ELSE'S JUMPS/3. Series/Digimon")</f>
        <v>DriveAnon's 4chan Drive/2. EVERYONE ELSE'S JUMPS/3. Series/Digimon</v>
      </c>
      <c r="B166" s="4" t="s">
        <v>32</v>
      </c>
      <c r="C166" s="4" t="s">
        <v>31</v>
      </c>
    </row>
    <row r="167">
      <c r="A167" s="12" t="str">
        <f>HYPERLINK("https://drive.google.com/drive/folders/1PTcV9EUMC9uJnqe-TngMF8e7rOQgn4pr","DriveAnon's 4chan Drive/2. EVERYONE ELSE'S JUMPS/3. Series/Desolate Era")</f>
        <v>DriveAnon's 4chan Drive/2. EVERYONE ELSE'S JUMPS/3. Series/Desolate Era</v>
      </c>
      <c r="B167" s="4" t="s">
        <v>32</v>
      </c>
      <c r="C167" s="4" t="s">
        <v>31</v>
      </c>
    </row>
    <row r="168">
      <c r="A168" s="12" t="str">
        <f>HYPERLINK("https://drive.google.com/drive/folders/1SrXB1fxjK8w22gzViev90IKE-KpQXR-2","DriveAnon's 4chan Drive/2. EVERYONE ELSE'S JUMPS/3. Series/Deus Ex")</f>
        <v>DriveAnon's 4chan Drive/2. EVERYONE ELSE'S JUMPS/3. Series/Deus Ex</v>
      </c>
      <c r="B168" s="4" t="s">
        <v>32</v>
      </c>
      <c r="C168" s="4" t="s">
        <v>31</v>
      </c>
    </row>
    <row r="169">
      <c r="A169" s="12" t="str">
        <f>HYPERLINK("https://drive.google.com/drive/folders/1UrahF_LDGErJAtlH6pMMOv0K_IJYdFq9","DriveAnon's 4chan Drive/2. EVERYONE ELSE'S JUMPS/3. Series/Destiny")</f>
        <v>DriveAnon's 4chan Drive/2. EVERYONE ELSE'S JUMPS/3. Series/Destiny</v>
      </c>
      <c r="B169" s="4" t="s">
        <v>32</v>
      </c>
      <c r="C169" s="4" t="s">
        <v>31</v>
      </c>
    </row>
    <row r="170">
      <c r="A170" s="12" t="str">
        <f>HYPERLINK("https://drive.google.com/drive/folders/1fYLr1Ov5-rQXltsbLk8vzK-pAHT-dwuP","DriveAnon's 4chan Drive/2. EVERYONE ELSE'S JUMPS/3. Series/DC")</f>
        <v>DriveAnon's 4chan Drive/2. EVERYONE ELSE'S JUMPS/3. Series/DC</v>
      </c>
      <c r="B170" s="4" t="s">
        <v>32</v>
      </c>
      <c r="C170" s="4" t="s">
        <v>31</v>
      </c>
    </row>
    <row r="171">
      <c r="A171" s="12" t="str">
        <f>HYPERLINK("https://drive.google.com/drive/folders/1JfR65TY-MW6yLt_E7hCqpF8PtMwgcTkS","DriveAnon's 4chan Drive/2. EVERYONE ELSE'S JUMPS/3. Series/DC/Teen Titans")</f>
        <v>DriveAnon's 4chan Drive/2. EVERYONE ELSE'S JUMPS/3. Series/DC/Teen Titans</v>
      </c>
      <c r="B171" s="4" t="s">
        <v>32</v>
      </c>
      <c r="C171" s="4" t="s">
        <v>31</v>
      </c>
    </row>
    <row r="172">
      <c r="A172" s="12" t="str">
        <f>HYPERLINK("https://drive.google.com/drive/folders/1grQ39_7MnJUGWtS4Am0FF7m8sqOYuCl8","DriveAnon's 4chan Drive/2. EVERYONE ELSE'S JUMPS/3. Series/Dark Souls")</f>
        <v>DriveAnon's 4chan Drive/2. EVERYONE ELSE'S JUMPS/3. Series/Dark Souls</v>
      </c>
      <c r="B172" s="4" t="s">
        <v>32</v>
      </c>
      <c r="C172" s="4" t="s">
        <v>31</v>
      </c>
    </row>
    <row r="173">
      <c r="A173" s="12" t="str">
        <f>HYPERLINK("https://drive.google.com/drive/folders/1sgHkPKPtEAUesYCgAgbZEgPzwvEkC-Wt","DriveAnon's 4chan Drive/2. EVERYONE ELSE'S JUMPS/3. Series/Dishonored")</f>
        <v>DriveAnon's 4chan Drive/2. EVERYONE ELSE'S JUMPS/3. Series/Dishonored</v>
      </c>
      <c r="B173" s="4" t="s">
        <v>32</v>
      </c>
      <c r="C173" s="4" t="s">
        <v>31</v>
      </c>
    </row>
    <row r="174">
      <c r="A174" s="12" t="str">
        <f>HYPERLINK("https://drive.google.com/drive/folders/1yxym2ChT4hf7-7Vj00AHXfrhrtcIrPJU","DriveAnon's 4chan Drive/2. EVERYONE ELSE'S JUMPS/3. Series/Dinotopia")</f>
        <v>DriveAnon's 4chan Drive/2. EVERYONE ELSE'S JUMPS/3. Series/Dinotopia</v>
      </c>
      <c r="B174" s="4" t="s">
        <v>32</v>
      </c>
      <c r="C174" s="4" t="s">
        <v>31</v>
      </c>
    </row>
    <row r="175">
      <c r="A175" s="12" t="str">
        <f>HYPERLINK("https://drive.google.com/drive/folders/1mRvY8AzEyeBsxUN97h1LSfGDlVhcuNG3","DriveAnon's 4chan Drive/2. EVERYONE ELSE'S JUMPS/3. Series/Crossover")</f>
        <v>DriveAnon's 4chan Drive/2. EVERYONE ELSE'S JUMPS/3. Series/Crossover</v>
      </c>
      <c r="B175" s="4" t="s">
        <v>32</v>
      </c>
      <c r="C175" s="4" t="s">
        <v>31</v>
      </c>
    </row>
    <row r="176">
      <c r="A176" s="12" t="str">
        <f>HYPERLINK("https://drive.google.com/drive/folders/19cBu5K3REiqg1YrYDtIcNDClcptoZEvx","DriveAnon's 4chan Drive/2. EVERYONE ELSE'S JUMPS/3. Series/Coiling Dragon")</f>
        <v>DriveAnon's 4chan Drive/2. EVERYONE ELSE'S JUMPS/3. Series/Coiling Dragon</v>
      </c>
      <c r="B176" s="4" t="s">
        <v>32</v>
      </c>
      <c r="C176" s="4" t="s">
        <v>31</v>
      </c>
    </row>
    <row r="177">
      <c r="A177" s="12" t="str">
        <f>HYPERLINK("https://drive.google.com/drive/folders/1JTRuah7MZswNiAk3eVlU1GbwfL2xyPoE","DriveAnon's 4chan Drive/2. EVERYONE ELSE'S JUMPS/3. Series/Coiling Dragon/Stellar Transformations")</f>
        <v>DriveAnon's 4chan Drive/2. EVERYONE ELSE'S JUMPS/3. Series/Coiling Dragon/Stellar Transformations</v>
      </c>
      <c r="B177" s="4" t="s">
        <v>32</v>
      </c>
      <c r="C177" s="4" t="s">
        <v>31</v>
      </c>
    </row>
    <row r="178">
      <c r="A178" s="12" t="str">
        <f>HYPERLINK("https://drive.google.com/drive/folders/1IKI7TWBQNNBB16NyFUmdVsIACc6WlF89","DriveAnon's 4chan Drive/2. EVERYONE ELSE'S JUMPS/3. Series/Code Geass")</f>
        <v>DriveAnon's 4chan Drive/2. EVERYONE ELSE'S JUMPS/3. Series/Code Geass</v>
      </c>
      <c r="B178" s="4" t="s">
        <v>32</v>
      </c>
      <c r="C178" s="4" t="s">
        <v>31</v>
      </c>
    </row>
    <row r="179">
      <c r="A179" s="12" t="str">
        <f>HYPERLINK("https://drive.google.com/drive/folders/1VWEf8mZHB6ubQFLtdMCxgSBSsH8sY0zp","DriveAnon's 4chan Drive/2. EVERYONE ELSE'S JUMPS/3. Series/Bioshock")</f>
        <v>DriveAnon's 4chan Drive/2. EVERYONE ELSE'S JUMPS/3. Series/Bioshock</v>
      </c>
      <c r="B179" s="4" t="s">
        <v>32</v>
      </c>
      <c r="C179" s="4" t="s">
        <v>31</v>
      </c>
    </row>
    <row r="180">
      <c r="A180" s="12" t="str">
        <f>HYPERLINK("https://drive.google.com/drive/folders/13tmoc7VIcGDl5fBtLBDvAFH6jxZ9G6na","DriveAnon's 4chan Drive/2. EVERYONE ELSE'S JUMPS/3. Series/Bloodborne")</f>
        <v>DriveAnon's 4chan Drive/2. EVERYONE ELSE'S JUMPS/3. Series/Bloodborne</v>
      </c>
      <c r="B180" s="4" t="s">
        <v>32</v>
      </c>
      <c r="C180" s="4" t="s">
        <v>31</v>
      </c>
    </row>
    <row r="181">
      <c r="A181" s="12" t="str">
        <f>HYPERLINK("https://drive.google.com/drive/folders/14TcsjjNHFzSOnSowHMD6WgiIeHIYqYGz","DriveAnon's 4chan Drive/2. EVERYONE ELSE'S JUMPS/3. Series/Bleach")</f>
        <v>DriveAnon's 4chan Drive/2. EVERYONE ELSE'S JUMPS/3. Series/Bleach</v>
      </c>
      <c r="B181" s="4" t="s">
        <v>32</v>
      </c>
      <c r="C181" s="4" t="s">
        <v>31</v>
      </c>
    </row>
    <row r="182">
      <c r="A182" s="12" t="str">
        <f>HYPERLINK("https://drive.google.com/drive/folders/12nYuitK6gwA9ODZIEA_ZIS8rQS7HDLmi","DriveAnon's 4chan Drive/2. EVERYONE ELSE'S JUMPS/3. Series/Bleach/German Hollow Quest")</f>
        <v>DriveAnon's 4chan Drive/2. EVERYONE ELSE'S JUMPS/3. Series/Bleach/German Hollow Quest</v>
      </c>
      <c r="B182" s="4" t="s">
        <v>32</v>
      </c>
      <c r="C182" s="4" t="s">
        <v>31</v>
      </c>
    </row>
    <row r="183">
      <c r="A183" s="12" t="str">
        <f>HYPERLINK("https://drive.google.com/drive/folders/19rgmgzxw5v0b-9VK3LxeQlnRxn6ZNUDx","DriveAnon's 4chan Drive/2. EVERYONE ELSE'S JUMPS/3. Series/Campione")</f>
        <v>DriveAnon's 4chan Drive/2. EVERYONE ELSE'S JUMPS/3. Series/Campione</v>
      </c>
      <c r="B183" s="4" t="s">
        <v>32</v>
      </c>
      <c r="C183" s="4" t="s">
        <v>31</v>
      </c>
    </row>
    <row r="184">
      <c r="A184" s="12" t="str">
        <f>HYPERLINK("https://drive.google.com/drive/folders/1RJ-CajL8Hj7BU1md_2CQHOzAVTcrRf7s","DriveAnon's 4chan Drive/2. EVERYONE ELSE'S JUMPS/3. Series/Call of Duty")</f>
        <v>DriveAnon's 4chan Drive/2. EVERYONE ELSE'S JUMPS/3. Series/Call of Duty</v>
      </c>
      <c r="B184" s="4" t="s">
        <v>32</v>
      </c>
      <c r="C184" s="4" t="s">
        <v>31</v>
      </c>
    </row>
    <row r="185">
      <c r="A185" s="12" t="str">
        <f>HYPERLINK("https://drive.google.com/drive/folders/1_pnD_gTO9APoSkEzqG2Vtud0LPBRe08c","DriveAnon's 4chan Drive/2. EVERYONE ELSE'S JUMPS/3. Series/Castlevania")</f>
        <v>DriveAnon's 4chan Drive/2. EVERYONE ELSE'S JUMPS/3. Series/Castlevania</v>
      </c>
      <c r="B185" s="4" t="s">
        <v>32</v>
      </c>
      <c r="C185" s="4" t="s">
        <v>31</v>
      </c>
    </row>
    <row r="186">
      <c r="A186" s="12" t="str">
        <f>HYPERLINK("https://drive.google.com/drive/folders/1d9IzHv5ZsOYfrGdukWlcCZABCp7300M-","DriveAnon's 4chan Drive/2. EVERYONE ELSE'S JUMPS/3. Series/City of Heroes")</f>
        <v>DriveAnon's 4chan Drive/2. EVERYONE ELSE'S JUMPS/3. Series/City of Heroes</v>
      </c>
      <c r="B186" s="4" t="s">
        <v>32</v>
      </c>
      <c r="C186" s="4" t="s">
        <v>31</v>
      </c>
    </row>
    <row r="187">
      <c r="A187" s="12" t="str">
        <f>HYPERLINK("https://drive.google.com/drive/folders/1g4iVyFWLxmWe7lecBT79CJfiIA80QoRX","DriveAnon's 4chan Drive/2. EVERYONE ELSE'S JUMPS/3. Series/Chrono Series")</f>
        <v>DriveAnon's 4chan Drive/2. EVERYONE ELSE'S JUMPS/3. Series/Chrono Series</v>
      </c>
      <c r="B187" s="4" t="s">
        <v>32</v>
      </c>
      <c r="C187" s="4" t="s">
        <v>31</v>
      </c>
    </row>
    <row r="188">
      <c r="A188" s="12" t="str">
        <f>HYPERLINK("https://drive.google.com/drive/folders/1g60hvHJEoXEWuVKYyTRnju6BsOKH3jlg","DriveAnon's 4chan Drive/2. EVERYONE ELSE'S JUMPS/3. Series/BlazBlue")</f>
        <v>DriveAnon's 4chan Drive/2. EVERYONE ELSE'S JUMPS/3. Series/BlazBlue</v>
      </c>
      <c r="B188" s="4" t="s">
        <v>32</v>
      </c>
      <c r="C188" s="4" t="s">
        <v>31</v>
      </c>
    </row>
    <row r="189">
      <c r="A189" s="12" t="str">
        <f>HYPERLINK("https://drive.google.com/drive/folders/1tNlPYjgUqXqn-hS63AdWqT1tXGbzk8QL","DriveAnon's 4chan Drive/2. EVERYONE ELSE'S JUMPS/3. Series/Bee Movie")</f>
        <v>DriveAnon's 4chan Drive/2. EVERYONE ELSE'S JUMPS/3. Series/Bee Movie</v>
      </c>
      <c r="B189" s="4" t="s">
        <v>32</v>
      </c>
      <c r="C189" s="4" t="s">
        <v>31</v>
      </c>
    </row>
    <row r="190">
      <c r="A190" s="12" t="str">
        <f>HYPERLINK("https://drive.google.com/drive/folders/1Z-j07LzYsHxTYqUqb9XMjE9XApOBmxyI","DriveAnon's 4chan Drive/2. EVERYONE ELSE'S JUMPS/3. Series/Battle Destruction School Dangerous")</f>
        <v>DriveAnon's 4chan Drive/2. EVERYONE ELSE'S JUMPS/3. Series/Battle Destruction School Dangerous</v>
      </c>
      <c r="B190" s="4" t="s">
        <v>32</v>
      </c>
      <c r="C190" s="4" t="s">
        <v>31</v>
      </c>
    </row>
    <row r="191">
      <c r="A191" s="12" t="str">
        <f>HYPERLINK("https://drive.google.com/drive/folders/1uk4tqLIwk1i_X0i3nUWVHSpAwgqxCmdL","DriveAnon's 4chan Drive/2. EVERYONE ELSE'S JUMPS/3. Series/Bastard")</f>
        <v>DriveAnon's 4chan Drive/2. EVERYONE ELSE'S JUMPS/3. Series/Bastard</v>
      </c>
      <c r="B191" s="4" t="s">
        <v>32</v>
      </c>
      <c r="C191" s="4" t="s">
        <v>31</v>
      </c>
    </row>
    <row r="192">
      <c r="A192" s="12" t="str">
        <f>HYPERLINK("https://drive.google.com/drive/folders/1LUdaFT8N4Oh4dVq2ZPt6aYMAnYi0xEny","DriveAnon's 4chan Drive/2. EVERYONE ELSE'S JUMPS/3. Series/Atelier")</f>
        <v>DriveAnon's 4chan Drive/2. EVERYONE ELSE'S JUMPS/3. Series/Atelier</v>
      </c>
      <c r="B192" s="4" t="s">
        <v>32</v>
      </c>
      <c r="C192" s="4" t="s">
        <v>31</v>
      </c>
    </row>
    <row r="193">
      <c r="A193" s="12" t="str">
        <f>HYPERLINK("https://drive.google.com/drive/folders/1ShW19SAJKi5mw3PMS7dU3CT3RvyPDs_d","DriveAnon's 4chan Drive/2. EVERYONE ELSE'S JUMPS/3. Series/Avatar")</f>
        <v>DriveAnon's 4chan Drive/2. EVERYONE ELSE'S JUMPS/3. Series/Avatar</v>
      </c>
      <c r="B193" s="4" t="s">
        <v>32</v>
      </c>
      <c r="C193" s="4" t="s">
        <v>31</v>
      </c>
    </row>
    <row r="194">
      <c r="A194" s="12" t="str">
        <f>HYPERLINK("https://drive.google.com/drive/folders/1XLel3Nfy_iyw3iKtSzN1ZtlDlMLGOJQL","DriveAnon's 4chan Drive/2. EVERYONE ELSE'S JUMPS/3. Series/A Practical Guide to Evil")</f>
        <v>DriveAnon's 4chan Drive/2. EVERYONE ELSE'S JUMPS/3. Series/A Practical Guide to Evil</v>
      </c>
      <c r="B194" s="4" t="s">
        <v>32</v>
      </c>
      <c r="C194" s="4" t="s">
        <v>31</v>
      </c>
    </row>
    <row r="195">
      <c r="A195" s="12" t="str">
        <f>HYPERLINK("https://drive.google.com/drive/folders/1e6tX8j5P08QvVNTeQUMKYFhpz5xRe0aX","DriveAnon's 4chan Drive/2. EVERYONE ELSE'S JUMPS/3. Series/Alice")</f>
        <v>DriveAnon's 4chan Drive/2. EVERYONE ELSE'S JUMPS/3. Series/Alice</v>
      </c>
      <c r="B195" s="4" t="s">
        <v>32</v>
      </c>
      <c r="C195" s="4" t="s">
        <v>31</v>
      </c>
    </row>
    <row r="196">
      <c r="A196" s="12" t="str">
        <f>HYPERLINK("https://drive.google.com/drive/folders/1qyMNzu5S4U6jkab6pUW-hn_t_AG4M1Kx","DriveAnon's 4chan Drive/2. EVERYONE ELSE'S JUMPS/3. Series/Armored Core")</f>
        <v>DriveAnon's 4chan Drive/2. EVERYONE ELSE'S JUMPS/3. Series/Armored Core</v>
      </c>
      <c r="B196" s="4" t="s">
        <v>32</v>
      </c>
      <c r="C196" s="4" t="s">
        <v>31</v>
      </c>
    </row>
    <row r="197">
      <c r="A197" s="12" t="str">
        <f>HYPERLINK("https://drive.google.com/drive/folders/1r6mc_UUirgMx60EZSiK_XLAjkpnjbyIT","DriveAnon's 4chan Drive/2. EVERYONE ELSE'S JUMPS/3. Series/Age of Empires III")</f>
        <v>DriveAnon's 4chan Drive/2. EVERYONE ELSE'S JUMPS/3. Series/Age of Empires III</v>
      </c>
      <c r="B197" s="4" t="s">
        <v>32</v>
      </c>
      <c r="C197" s="4" t="s">
        <v>31</v>
      </c>
    </row>
    <row r="198">
      <c r="A198" s="12" t="str">
        <f>HYPERLINK("https://drive.google.com/drive/folders/1k8aTWLNEOASzJ4ef5qUkfbhEenQPCyrW","DriveAnon's 4chan Drive/2. EVERYONE ELSE'S JUMPS/4. WIP")</f>
        <v>DriveAnon's 4chan Drive/2. EVERYONE ELSE'S JUMPS/4. WIP</v>
      </c>
      <c r="B198" s="4" t="s">
        <v>32</v>
      </c>
      <c r="C198" s="4" t="s">
        <v>31</v>
      </c>
    </row>
    <row r="199">
      <c r="A199" s="12" t="str">
        <f>HYPERLINK("https://drive.google.com/drive/folders/1_W-J7hvpYxJR7i8bl_pFk7l1CDYkG86A","DriveAnon's 4chan Drive/2. EVERYONE ELSE'S JUMPS/4. WIP/World War 2 JumpChain")</f>
        <v>DriveAnon's 4chan Drive/2. EVERYONE ELSE'S JUMPS/4. WIP/World War 2 JumpChain</v>
      </c>
      <c r="B199" s="4" t="s">
        <v>32</v>
      </c>
      <c r="C199" s="4" t="s">
        <v>31</v>
      </c>
    </row>
    <row r="200">
      <c r="A200" s="12" t="str">
        <f>HYPERLINK("https://drive.google.com/drive/folders/1zmslaVO_ePKHQyPPB1UZoByFVy0inghg","DriveAnon's 4chan Drive/2. EVERYONE ELSE'S JUMPS/4. WIP/Jumps up for Adoption")</f>
        <v>DriveAnon's 4chan Drive/2. EVERYONE ELSE'S JUMPS/4. WIP/Jumps up for Adoption</v>
      </c>
      <c r="B200" s="4" t="s">
        <v>32</v>
      </c>
      <c r="C200" s="4" t="s">
        <v>31</v>
      </c>
    </row>
    <row r="201">
      <c r="A201" s="12" t="str">
        <f>HYPERLINK("https://drive.google.com/drive/folders/1aAk3p7NahX2TEpmcaDrGEExwl_FCkSR5","DriveAnon's 4chan Drive/2. EVERYONE ELSE'S JUMPS/4. WIP/Jumps up for Adoption/(Incomplete) How to Train Your Dragon JumpChain")</f>
        <v>DriveAnon's 4chan Drive/2. EVERYONE ELSE'S JUMPS/4. WIP/Jumps up for Adoption/(Incomplete) How to Train Your Dragon JumpChain</v>
      </c>
      <c r="B201" s="4" t="s">
        <v>32</v>
      </c>
      <c r="C201" s="4" t="s">
        <v>31</v>
      </c>
    </row>
    <row r="202">
      <c r="A202" s="12" t="str">
        <f>HYPERLINK("https://drive.google.com/drive/folders/1z4-DHzgCITQhPoe60fPrS_Uc81kGFbQo","DriveAnon's 4chan Drive/2. EVERYONE ELSE'S JUMPS/4. WIP/Jumps up for Adoption/(Incomplete) Generic Videogame Designer JumpChain")</f>
        <v>DriveAnon's 4chan Drive/2. EVERYONE ELSE'S JUMPS/4. WIP/Jumps up for Adoption/(Incomplete) Generic Videogame Designer JumpChain</v>
      </c>
      <c r="B202" s="4" t="s">
        <v>32</v>
      </c>
      <c r="C202" s="4" t="s">
        <v>31</v>
      </c>
    </row>
    <row r="203">
      <c r="A203" s="12" t="str">
        <f>HYPERLINK("https://drive.google.com/drive/folders/1a97evzsoSaIITy-AI1TCLU9Uer2sY58s","DriveAnon's 4chan Drive/2. EVERYONE ELSE'S JUMPS/4. WIP/Jumps up for Adoption/(Incomplete) Call of Duty JumpChain")</f>
        <v>DriveAnon's 4chan Drive/2. EVERYONE ELSE'S JUMPS/4. WIP/Jumps up for Adoption/(Incomplete) Call of Duty JumpChain</v>
      </c>
      <c r="B203" s="4" t="s">
        <v>32</v>
      </c>
      <c r="C203" s="4" t="s">
        <v>31</v>
      </c>
    </row>
    <row r="204">
      <c r="A204" s="12" t="str">
        <f>HYPERLINK("https://drive.google.com/drive/folders/1nr0XmVY5tuD74-PEWVAWStrUeC_m5Q4P","DriveAnon's 4chan Drive/2. EVERYONE ELSE'S JUMPS/5. Gauntlets")</f>
        <v>DriveAnon's 4chan Drive/2. EVERYONE ELSE'S JUMPS/5. Gauntlets</v>
      </c>
      <c r="B204" s="4" t="s">
        <v>34</v>
      </c>
      <c r="C204" s="4" t="s">
        <v>31</v>
      </c>
    </row>
    <row r="205">
      <c r="A205" s="12" t="str">
        <f>HYPERLINK("https://drive.google.com/drive/folders/1sXG3fQsRvaeh0GRLAqhucAx2kd27I_lI","DriveAnon's 4chan Drive/2. EVERYONE ELSE'S JUMPS/8. Joke Jumps")</f>
        <v>DriveAnon's 4chan Drive/2. EVERYONE ELSE'S JUMPS/8. Joke Jumps</v>
      </c>
      <c r="B205" s="4" t="s">
        <v>32</v>
      </c>
      <c r="C205" s="4" t="s">
        <v>31</v>
      </c>
    </row>
    <row r="206">
      <c r="A206" s="12" t="str">
        <f>HYPERLINK("https://drive.google.com/drive/folders/1u9v6F7MWG2z0wRx6cFyB1TQ7IzE4p2YJ","DriveAnon's 4chan Drive/2. EVERYONE ELSE'S JUMPS/8. Joke Jumps/Christmas Cards")</f>
        <v>DriveAnon's 4chan Drive/2. EVERYONE ELSE'S JUMPS/8. Joke Jumps/Christmas Cards</v>
      </c>
      <c r="B206" s="4" t="s">
        <v>32</v>
      </c>
      <c r="C206" s="4" t="s">
        <v>31</v>
      </c>
    </row>
    <row r="207">
      <c r="A207" s="12" t="str">
        <f>HYPERLINK("https://drive.google.com/drive/folders/1EYbRGOCBrziftTdBdE_xQGjrv5rm7iFF","DriveAnon's 4chan Drive/2. EVERYONE ELSE'S JUMPS/2. Complete but need image work")</f>
        <v>DriveAnon's 4chan Drive/2. EVERYONE ELSE'S JUMPS/2. Complete but need image work</v>
      </c>
      <c r="B207" s="4" t="s">
        <v>32</v>
      </c>
      <c r="C207" s="4" t="s">
        <v>31</v>
      </c>
    </row>
    <row r="208">
      <c r="A208" s="12" t="str">
        <f>HYPERLINK("https://drive.google.com/drive/folders/1EVWYvadxFZdPrCZlQPtlM2IT3ADW6NQG","DriveAnon's 4chan Drive/2. EVERYONE ELSE'S JUMPS/2. Complete but need image work/L-P Jumps")</f>
        <v>DriveAnon's 4chan Drive/2. EVERYONE ELSE'S JUMPS/2. Complete but need image work/L-P Jumps</v>
      </c>
      <c r="B208" s="4" t="s">
        <v>32</v>
      </c>
      <c r="C208" s="4" t="s">
        <v>31</v>
      </c>
    </row>
    <row r="209">
      <c r="A209" s="12" t="str">
        <f>HYPERLINK("https://drive.google.com/drive/folders/1g9Z-Yp1-Y3duGpPfcO2aUVXBUPutjgur","DriveAnon's 4chan Drive/2. EVERYONE ELSE'S JUMPS/2. Complete but need image work/W-Z")</f>
        <v>DriveAnon's 4chan Drive/2. EVERYONE ELSE'S JUMPS/2. Complete but need image work/W-Z</v>
      </c>
      <c r="B209" s="4" t="s">
        <v>32</v>
      </c>
      <c r="C209" s="4" t="s">
        <v>31</v>
      </c>
    </row>
    <row r="210">
      <c r="A210" s="12" t="str">
        <f>HYPERLINK("https://drive.google.com/drive/folders/1lVHN4CKPS4Haqq9uGq22q1UTEq1dSGEM","DriveAnon's 4chan Drive/2. EVERYONE ELSE'S JUMPS/2. Complete but need image work/Q-V Jumps")</f>
        <v>DriveAnon's 4chan Drive/2. EVERYONE ELSE'S JUMPS/2. Complete but need image work/Q-V Jumps</v>
      </c>
      <c r="B210" s="4" t="s">
        <v>32</v>
      </c>
      <c r="C210" s="4" t="s">
        <v>31</v>
      </c>
    </row>
    <row r="211">
      <c r="A211" s="12" t="str">
        <f>HYPERLINK("https://drive.google.com/drive/folders/1C-jpyxbM7No2Ip_bWo-NNCe4SwKmQ-L7","DriveAnon's 4chan Drive/2. EVERYONE ELSE'S JUMPS/2. Complete but need image work/F-K Jumps")</f>
        <v>DriveAnon's 4chan Drive/2. EVERYONE ELSE'S JUMPS/2. Complete but need image work/F-K Jumps</v>
      </c>
      <c r="B211" s="4" t="s">
        <v>32</v>
      </c>
      <c r="C211" s="4" t="s">
        <v>31</v>
      </c>
    </row>
    <row r="212">
      <c r="A212" s="12" t="str">
        <f>HYPERLINK("https://drive.google.com/drive/folders/1EhddGNYkKnJ9CFgKq5JOQ8xM3slGHaaA","DriveAnon's 4chan Drive/2. EVERYONE ELSE'S JUMPS/2. Complete but need image work/A-E Jumps")</f>
        <v>DriveAnon's 4chan Drive/2. EVERYONE ELSE'S JUMPS/2. Complete but need image work/A-E Jumps</v>
      </c>
      <c r="B212" s="4" t="s">
        <v>32</v>
      </c>
      <c r="C212" s="4" t="s">
        <v>31</v>
      </c>
    </row>
    <row r="213">
      <c r="A213" s="12" t="str">
        <f>HYPERLINK("https://drive.google.com/drive/folders/1YXop_0MTXyzu9bSWwIMa38fnYgco6qAV","DriveAnon's 4chan Drive/2. EVERYONE ELSE'S JUMPS/1. Complete with images")</f>
        <v>DriveAnon's 4chan Drive/2. EVERYONE ELSE'S JUMPS/1. Complete with images</v>
      </c>
      <c r="B213" s="4" t="s">
        <v>32</v>
      </c>
      <c r="C213" s="4" t="s">
        <v>31</v>
      </c>
    </row>
    <row r="214">
      <c r="A214" s="12" t="str">
        <f>HYPERLINK("https://drive.google.com/drive/folders/1qzfVVn6JlcqLe6pKdb0XIiiiuTXSt0zg","DriveAnon's 4chan Drive/0. How to JumpChain")</f>
        <v>DriveAnon's 4chan Drive/0. How to JumpChain</v>
      </c>
      <c r="B214" s="4" t="s">
        <v>32</v>
      </c>
      <c r="C214" s="4" t="s">
        <v>31</v>
      </c>
    </row>
    <row r="215">
      <c r="A215" s="12" t="str">
        <f>HYPERLINK("https://drive.google.com/drive/folders/0By8NY-NO4-N5WVdhY3pZR1NCYXM?resourcekey=0-hiJXImqIu4nOvqS82ImFng","QQ Drive/Uploads")</f>
        <v>QQ Drive/Uploads</v>
      </c>
      <c r="B215" s="4" t="s">
        <v>30</v>
      </c>
      <c r="C215" s="4" t="s">
        <v>31</v>
      </c>
    </row>
    <row r="216">
      <c r="A216" s="12" t="str">
        <f>HYPERLINK("https://drive.google.com/drive/folders/1RjsLVj8y4m4A7MWsC5rpqHiAHeMsm87n","QQ Drive/Uploads/WIP")</f>
        <v>QQ Drive/Uploads/WIP</v>
      </c>
      <c r="B216" s="4" t="s">
        <v>30</v>
      </c>
      <c r="C216" s="4" t="s">
        <v>31</v>
      </c>
    </row>
    <row r="217">
      <c r="A217" s="12" t="str">
        <f>HYPERLINK("https://drive.google.com/drive/folders/0By8NY-NO4-N5bDRqVXdNTWdrSTQ?resourcekey=0-BrPr_ebH6dd7z8VrhSIH9Q","QQ Drive/Lewd")</f>
        <v>QQ Drive/Lewd</v>
      </c>
      <c r="B217" s="4" t="s">
        <v>32</v>
      </c>
      <c r="C217" s="4" t="s">
        <v>31</v>
      </c>
    </row>
    <row r="218">
      <c r="A218" s="12" t="str">
        <f>HYPERLINK("https://drive.google.com/drive/folders/1XLB9PDNcckmDK2dLGzVth5WZ6B0INp1A","QQ Drive/Lewd/Type Moon / Fate")</f>
        <v>QQ Drive/Lewd/Type Moon / Fate</v>
      </c>
      <c r="B218" s="4" t="s">
        <v>32</v>
      </c>
      <c r="C218" s="4" t="s">
        <v>31</v>
      </c>
    </row>
    <row r="219">
      <c r="A219" s="12" t="str">
        <f>HYPERLINK("https://drive.google.com/drive/folders/1REBo5QRlT2aydG0N-lbF6uLnsQMZBBVT","QQ Drive/Lewd/Supplements/Gauntlets")</f>
        <v>QQ Drive/Lewd/Supplements/Gauntlets</v>
      </c>
      <c r="B219" s="4" t="s">
        <v>33</v>
      </c>
      <c r="C219" s="4" t="s">
        <v>31</v>
      </c>
    </row>
    <row r="220">
      <c r="A220" s="12" t="str">
        <f>HYPERLINK("https://drive.google.com/drive/folders/1AJYxljqD6ankJtwdZqn0A7ulWhTITKrm","QQ Drive/Lewd/Rance")</f>
        <v>QQ Drive/Lewd/Rance</v>
      </c>
      <c r="B220" s="4" t="s">
        <v>32</v>
      </c>
      <c r="C220" s="4" t="s">
        <v>31</v>
      </c>
    </row>
    <row r="221">
      <c r="A221" s="12" t="str">
        <f>HYPERLINK("https://drive.google.com/drive/folders/1OmWFqlD8sqhBo-Z8hhO1zLhYsdBE6J2x","QQ Drive/Lewd/Generics")</f>
        <v>QQ Drive/Lewd/Generics</v>
      </c>
      <c r="B221" s="4" t="s">
        <v>32</v>
      </c>
      <c r="C221" s="4" t="s">
        <v>31</v>
      </c>
    </row>
    <row r="222">
      <c r="A222" s="12" t="str">
        <f>HYPERLINK("https://drive.google.com/drive/folders/1UCE31qMo1t1OdvcTeAs2xQecIe05Z1ZM","QQ Drive/Lewd/Pokegirls")</f>
        <v>QQ Drive/Lewd/Pokegirls</v>
      </c>
      <c r="B222" s="4" t="s">
        <v>32</v>
      </c>
      <c r="C222" s="4" t="s">
        <v>31</v>
      </c>
    </row>
    <row r="223">
      <c r="A223" s="12" t="str">
        <f>HYPERLINK("https://drive.google.com/drive/folders/1qzYqpTDqQNnXBYPZ3Ul5fdCCtFQSt-ry","Reddit Jumpchain Drive/Not Completed")</f>
        <v>Reddit Jumpchain Drive/Not Completed</v>
      </c>
      <c r="B223" s="4" t="s">
        <v>32</v>
      </c>
      <c r="C223" s="4" t="s">
        <v>31</v>
      </c>
    </row>
    <row r="224">
      <c r="A224" s="12" t="str">
        <f>HYPERLINK("https://drive.google.com/drive/folders/125fmUW_VK2inD7AGzbGOEEr2z4i_AQyX","Reddit Jumpchain Drive/Completed")</f>
        <v>Reddit Jumpchain Drive/Completed</v>
      </c>
      <c r="B224" s="4" t="s">
        <v>32</v>
      </c>
      <c r="C224" s="4" t="s">
        <v>31</v>
      </c>
    </row>
    <row r="225">
      <c r="A225" s="12" t="str">
        <f>HYPERLINK("https://drive.google.com/drive/folders/19c40KV55vpYbnl7tL5nJIYLEEgO75mSh","Reddit Jumpchain Drive/Completed/Murdertale Folder")</f>
        <v>Reddit Jumpchain Drive/Completed/Murdertale Folder</v>
      </c>
      <c r="B225" s="4" t="s">
        <v>32</v>
      </c>
      <c r="C225" s="4" t="s">
        <v>31</v>
      </c>
    </row>
    <row r="226">
      <c r="A226" s="12" t="str">
        <f>HYPERLINK("https://drive.google.com/drive/folders/1f4rXzYHXXSl_xEn-v0KG0uPsS9PTiT6p","Reddit Jumpchain Drive/Completed/Murdertale Folder/Undertale Jump (GENOCIDE RUN)")</f>
        <v>Reddit Jumpchain Drive/Completed/Murdertale Folder/Undertale Jump (GENOCIDE RUN)</v>
      </c>
      <c r="B226" s="4" t="s">
        <v>32</v>
      </c>
      <c r="C226" s="4" t="s">
        <v>31</v>
      </c>
    </row>
    <row r="227">
      <c r="A227" s="12" t="str">
        <f>HYPERLINK("https://drive.google.com/drive/folders/1sifFdYoDMOsbmzpHXdzf1ZUGK_8HrjTK","Reddit Jumpchain Drive/Completed/Murdertale Folder/Undertale Jump (GENOCIDE RUN)/If you decided to reform Chara go here")</f>
        <v>Reddit Jumpchain Drive/Completed/Murdertale Folder/Undertale Jump (GENOCIDE RUN)/If you decided to reform Chara go here</v>
      </c>
      <c r="B227" s="4" t="s">
        <v>32</v>
      </c>
      <c r="C227" s="4" t="s">
        <v>31</v>
      </c>
    </row>
    <row r="228">
      <c r="A228" s="12" t="str">
        <f>HYPERLINK("https://drive.google.com/drive/folders/1UuIzjn-K2O1k86m60rpLfUulyu53CsvL","Reddit Jumpchain Drive/Completed/NSFW")</f>
        <v>Reddit Jumpchain Drive/Completed/NSFW</v>
      </c>
      <c r="B228" s="4" t="s">
        <v>32</v>
      </c>
      <c r="C228" s="4" t="s">
        <v>31</v>
      </c>
    </row>
    <row r="229">
      <c r="A229" s="12" t="str">
        <f>HYPERLINK("https://drive.google.com/drive/folders/1kN7BRVotTyS37EaCvNg01JQALsW6X1C_","Reddit Jumpchain Drive/Completed/Named Folders of Reddit")</f>
        <v>Reddit Jumpchain Drive/Completed/Named Folders of Reddit</v>
      </c>
      <c r="B229" s="4" t="s">
        <v>32</v>
      </c>
      <c r="C229" s="4" t="s">
        <v>31</v>
      </c>
    </row>
    <row r="230">
      <c r="A230" s="12" t="str">
        <f>HYPERLINK("https://drive.google.com/drive/folders/1XmR1b34DYH7FUcS4CU7nfBEVmUGdVhgO","Reddit Jumpchain Drive/Completed/Named Folders of Reddit/Transformers")</f>
        <v>Reddit Jumpchain Drive/Completed/Named Folders of Reddit/Transformers</v>
      </c>
      <c r="B230" s="4" t="s">
        <v>32</v>
      </c>
      <c r="C230" s="4" t="s">
        <v>31</v>
      </c>
    </row>
    <row r="231">
      <c r="A231" s="12" t="str">
        <f>HYPERLINK("https://drive.google.com/drive/folders/1M5tCOM7t1ddgdhGjYQ9x6cbtWZiGZFzu","Reddit Jumpchain Drive/Completed/Named Folders of Reddit/Transformers")</f>
        <v>Reddit Jumpchain Drive/Completed/Named Folders of Reddit/Transformers</v>
      </c>
      <c r="B231" s="4" t="s">
        <v>32</v>
      </c>
      <c r="C231" s="4" t="s">
        <v>31</v>
      </c>
    </row>
    <row r="232">
      <c r="A232" s="12" t="str">
        <f>HYPERLINK("https://drive.google.com/drive/folders/1TNUMnLNY-MFCHjDrMp7F4PppfczzzZqH","Reddit Jumpchain Drive/Completed/Named Folders of Reddit/Neon Genesis Evangelion")</f>
        <v>Reddit Jumpchain Drive/Completed/Named Folders of Reddit/Neon Genesis Evangelion</v>
      </c>
      <c r="B232" s="4" t="s">
        <v>32</v>
      </c>
      <c r="C232" s="4" t="s">
        <v>31</v>
      </c>
    </row>
    <row r="233">
      <c r="A233" s="12" t="str">
        <f>HYPERLINK("https://drive.google.com/drive/folders/1-trAhkhhvRuTzdCczek6aIeudrd381Wx","Reddit Jumpchain Drive/Completed/Named Folders of Reddit/Misfit of Demon Academy ")</f>
        <v>Reddit Jumpchain Drive/Completed/Named Folders of Reddit/Misfit of Demon Academy </v>
      </c>
      <c r="B233" s="4" t="s">
        <v>32</v>
      </c>
      <c r="C233" s="4" t="s">
        <v>31</v>
      </c>
    </row>
    <row r="234">
      <c r="A234" s="12" t="str">
        <f>HYPERLINK("https://drive.google.com/drive/folders/1b4B4tO4qPltPo0o5HlS6O3Kv_FGY7ei4","Reddit Jumpchain Drive/Completed/Named Folders of Reddit/Miraculous Ladybug")</f>
        <v>Reddit Jumpchain Drive/Completed/Named Folders of Reddit/Miraculous Ladybug</v>
      </c>
      <c r="B234" s="4" t="s">
        <v>32</v>
      </c>
      <c r="C234" s="4" t="s">
        <v>31</v>
      </c>
    </row>
    <row r="235">
      <c r="A235" s="12" t="str">
        <f>HYPERLINK("https://drive.google.com/drive/folders/1TO9Lk_qH20OjYSU8ZGru3fBbe8Q4fRAO","Reddit Jumpchain Drive/Completed/Named Folders of Reddit/Swat Kats")</f>
        <v>Reddit Jumpchain Drive/Completed/Named Folders of Reddit/Swat Kats</v>
      </c>
      <c r="B235" s="4" t="s">
        <v>32</v>
      </c>
      <c r="C235" s="4" t="s">
        <v>31</v>
      </c>
    </row>
    <row r="236">
      <c r="A236" s="12" t="str">
        <f>HYPERLINK("https://drive.google.com/drive/folders/1vvOpyI2i81XmXz2-ZXAzlJ1RE603w2at","Reddit Jumpchain Drive/Completed/Named Folders of Reddit/Monica")</f>
        <v>Reddit Jumpchain Drive/Completed/Named Folders of Reddit/Monica</v>
      </c>
      <c r="B236" s="4" t="s">
        <v>32</v>
      </c>
      <c r="C236" s="4" t="s">
        <v>31</v>
      </c>
    </row>
    <row r="237">
      <c r="A237" s="12" t="str">
        <f>HYPERLINK("https://drive.google.com/drive/folders/1dY2OXeoGqZsAWGh3yI5nmXyqYOs1yIcd","Reddit Jumpchain Drive/Completed/Named Folders of Reddit/Rising of the Shield Hero")</f>
        <v>Reddit Jumpchain Drive/Completed/Named Folders of Reddit/Rising of the Shield Hero</v>
      </c>
      <c r="B237" s="4" t="s">
        <v>32</v>
      </c>
      <c r="C237" s="4" t="s">
        <v>31</v>
      </c>
    </row>
    <row r="238">
      <c r="A238" s="12" t="str">
        <f>HYPERLINK("https://drive.google.com/drive/folders/1pbkecSRKYsyuatzllMYRmNgPwR70aFEZ","Reddit Jumpchain Drive/Completed/Named Folders of Reddit/Lobotomy Corporation and Library of Ruina")</f>
        <v>Reddit Jumpchain Drive/Completed/Named Folders of Reddit/Lobotomy Corporation and Library of Ruina</v>
      </c>
      <c r="B238" s="4" t="s">
        <v>32</v>
      </c>
      <c r="C238" s="4" t="s">
        <v>31</v>
      </c>
    </row>
    <row r="239">
      <c r="A239" s="12" t="str">
        <f>HYPERLINK("https://drive.google.com/drive/folders/1wh6vMiAv9zuwNZ3qc-RZYL1SAbbZnBiO","Reddit Jumpchain Drive/Completed/Named Folders of Reddit/Left 4 Dead")</f>
        <v>Reddit Jumpchain Drive/Completed/Named Folders of Reddit/Left 4 Dead</v>
      </c>
      <c r="B239" s="4" t="s">
        <v>32</v>
      </c>
      <c r="C239" s="4" t="s">
        <v>31</v>
      </c>
    </row>
    <row r="240">
      <c r="A240" s="12" t="str">
        <f>HYPERLINK("https://drive.google.com/drive/folders/1CHPIlTEnt74acj2jVFnf7aG6Z-wD8Oj5","Reddit Jumpchain Drive/Completed/Named Folders of Reddit/I Hate Fairyland")</f>
        <v>Reddit Jumpchain Drive/Completed/Named Folders of Reddit/I Hate Fairyland</v>
      </c>
      <c r="B240" s="4" t="s">
        <v>32</v>
      </c>
      <c r="C240" s="4" t="s">
        <v>31</v>
      </c>
    </row>
    <row r="241">
      <c r="A241" s="12" t="str">
        <f>HYPERLINK("https://drive.google.com/drive/folders/1-2TVDEyzMaOlF2wovOu8zMwdyCjDkbYR","Reddit Jumpchain Drive/Completed/Named Folders of Reddit/Monster Hunter")</f>
        <v>Reddit Jumpchain Drive/Completed/Named Folders of Reddit/Monster Hunter</v>
      </c>
      <c r="B241" s="4" t="s">
        <v>32</v>
      </c>
      <c r="C241" s="4" t="s">
        <v>31</v>
      </c>
    </row>
    <row r="242">
      <c r="A242" s="12" t="str">
        <f>HYPERLINK("https://drive.google.com/drive/folders/1Zd5TJah6e0Tbwhh2dtEtvGiOjZ3pFnAN","Reddit Jumpchain Drive/Completed/Named Folders of Reddit/Dark Deception Gauntlet Jumpchain")</f>
        <v>Reddit Jumpchain Drive/Completed/Named Folders of Reddit/Dark Deception Gauntlet Jumpchain</v>
      </c>
      <c r="B242" s="4" t="s">
        <v>34</v>
      </c>
      <c r="C242" s="4" t="s">
        <v>31</v>
      </c>
    </row>
    <row r="243">
      <c r="A243" s="12" t="str">
        <f>HYPERLINK("https://drive.google.com/drive/folders/1H1KbM9pe-mTmsq4BQ3SIyyB69d3gT2zD","Reddit Jumpchain Drive/Completed/Named Folders of Reddit/Dark Deception Gauntlet Jumpchain/Dark Deception Imgur")</f>
        <v>Reddit Jumpchain Drive/Completed/Named Folders of Reddit/Dark Deception Gauntlet Jumpchain/Dark Deception Imgur</v>
      </c>
      <c r="B243" s="4" t="s">
        <v>34</v>
      </c>
      <c r="C243" s="4" t="s">
        <v>31</v>
      </c>
    </row>
    <row r="244">
      <c r="A244" s="12" t="str">
        <f>HYPERLINK("https://drive.google.com/drive/folders/1iiGcjPd9s6VEdA8ZSjdH32ZxsRt5iQxR","Reddit Jumpchain Drive/Completed/Named Folders of Reddit/It's a Wonderful Life")</f>
        <v>Reddit Jumpchain Drive/Completed/Named Folders of Reddit/It's a Wonderful Life</v>
      </c>
      <c r="B244" s="4" t="s">
        <v>32</v>
      </c>
      <c r="C244" s="4" t="s">
        <v>31</v>
      </c>
    </row>
    <row r="245">
      <c r="A245" s="12" t="str">
        <f>HYPERLINK("https://drive.google.com/drive/folders/1aGiheBVcQkeVLz9oV_aYVV-Jb6Xd3TgE","Reddit Jumpchain Drive/Completed/Named Folders of Reddit/Wizard of Oz")</f>
        <v>Reddit Jumpchain Drive/Completed/Named Folders of Reddit/Wizard of Oz</v>
      </c>
      <c r="B245" s="4" t="s">
        <v>32</v>
      </c>
      <c r="C245" s="4" t="s">
        <v>31</v>
      </c>
    </row>
    <row r="246">
      <c r="A246" s="12" t="str">
        <f>HYPERLINK("https://drive.google.com/drive/folders/1-zbRZFuBWi_Rj-ohxdDoSJbRko_qzgdT","Reddit Jumpchain Drive/Completed/Named Folders of Reddit/Tenchi")</f>
        <v>Reddit Jumpchain Drive/Completed/Named Folders of Reddit/Tenchi</v>
      </c>
      <c r="B246" s="4" t="s">
        <v>32</v>
      </c>
      <c r="C246" s="4" t="s">
        <v>31</v>
      </c>
    </row>
    <row r="247">
      <c r="A247" s="12" t="str">
        <f>HYPERLINK("https://drive.google.com/drive/folders/1RNAgM0OVbD4lSDWTfeQ9bIrayt-cDX_4","Reddit Jumpchain Drive/Completed/Named Folders of Reddit/Tekken")</f>
        <v>Reddit Jumpchain Drive/Completed/Named Folders of Reddit/Tekken</v>
      </c>
      <c r="B247" s="4" t="s">
        <v>32</v>
      </c>
      <c r="C247" s="4" t="s">
        <v>31</v>
      </c>
    </row>
    <row r="248">
      <c r="A248" s="12" t="str">
        <f>HYPERLINK("https://drive.google.com/drive/folders/1lZgRRx0xzLvkksh-I7iGGRBWhP3EjOoG","Reddit Jumpchain Drive/Completed/Named Folders of Reddit/Katana Zero")</f>
        <v>Reddit Jumpchain Drive/Completed/Named Folders of Reddit/Katana Zero</v>
      </c>
      <c r="B248" s="4" t="s">
        <v>32</v>
      </c>
      <c r="C248" s="4" t="s">
        <v>31</v>
      </c>
    </row>
    <row r="249">
      <c r="A249" s="12" t="str">
        <f>HYPERLINK("https://drive.google.com/drive/folders/1JdkH9xTQoamvFMt-2pnv98djXKQvG7Mx","Reddit Jumpchain Drive/Completed/Named Folders of Reddit/Ravenwood")</f>
        <v>Reddit Jumpchain Drive/Completed/Named Folders of Reddit/Ravenwood</v>
      </c>
      <c r="B249" s="4" t="s">
        <v>32</v>
      </c>
      <c r="C249" s="4" t="s">
        <v>31</v>
      </c>
    </row>
    <row r="250">
      <c r="A250" s="12" t="str">
        <f>HYPERLINK("https://drive.google.com/drive/folders/1NsRbjC4DmuW4vDN6XkYFTSSAma9bAUqH","Reddit Jumpchain Drive/Completed/Named Folders of Reddit/Dragon Mech")</f>
        <v>Reddit Jumpchain Drive/Completed/Named Folders of Reddit/Dragon Mech</v>
      </c>
      <c r="B250" s="4" t="s">
        <v>32</v>
      </c>
      <c r="C250" s="4" t="s">
        <v>31</v>
      </c>
    </row>
    <row r="251">
      <c r="A251" s="12" t="str">
        <f>HYPERLINK("https://drive.google.com/drive/folders/1N9TCstBa27nNmxCxCnJ2AR2vUkXXL-1d","Reddit Jumpchain Drive/Completed/Named Folders of Reddit/Mythology")</f>
        <v>Reddit Jumpchain Drive/Completed/Named Folders of Reddit/Mythology</v>
      </c>
      <c r="B251" s="4" t="s">
        <v>32</v>
      </c>
      <c r="C251" s="4" t="s">
        <v>31</v>
      </c>
    </row>
    <row r="252">
      <c r="A252" s="12" t="str">
        <f>HYPERLINK("https://drive.google.com/drive/folders/1jJgH7xrjgi_SPmi4IaOCSDwMRsbrmTW3","Reddit Jumpchain Drive/Completed/Named Folders of Reddit/Dragon Ball")</f>
        <v>Reddit Jumpchain Drive/Completed/Named Folders of Reddit/Dragon Ball</v>
      </c>
      <c r="B252" s="4" t="s">
        <v>32</v>
      </c>
      <c r="C252" s="4" t="s">
        <v>31</v>
      </c>
    </row>
    <row r="253">
      <c r="A253" s="12" t="str">
        <f>HYPERLINK("https://drive.google.com/drive/folders/1FZ488clryAM-hkXGoNPBy5MqnIgOsEoj","Reddit Jumpchain Drive/Completed/Named Folders of Reddit/Dragon Sword")</f>
        <v>Reddit Jumpchain Drive/Completed/Named Folders of Reddit/Dragon Sword</v>
      </c>
      <c r="B253" s="4" t="s">
        <v>32</v>
      </c>
      <c r="C253" s="4" t="s">
        <v>31</v>
      </c>
    </row>
    <row r="254">
      <c r="A254" s="12" t="str">
        <f>HYPERLINK("https://drive.google.com/drive/folders/1jb7Got6CARihHtNNKVkQcYRpCK3MmRFQ","Reddit Jumpchain Drive/Completed/Named Folders of Reddit/Slay The Spire")</f>
        <v>Reddit Jumpchain Drive/Completed/Named Folders of Reddit/Slay The Spire</v>
      </c>
      <c r="B254" s="4" t="s">
        <v>32</v>
      </c>
      <c r="C254" s="4" t="s">
        <v>31</v>
      </c>
    </row>
    <row r="255">
      <c r="A255" s="12" t="str">
        <f>HYPERLINK("https://drive.google.com/drive/folders/13CGbW1dOo3JjzXA52eciWqwtSQU4GIHQ","Reddit Jumpchain Drive/Completed/Named Folders of Reddit/Slay The Spire/Previous Version")</f>
        <v>Reddit Jumpchain Drive/Completed/Named Folders of Reddit/Slay The Spire/Previous Version</v>
      </c>
      <c r="B255" s="4" t="s">
        <v>32</v>
      </c>
      <c r="C255" s="4" t="s">
        <v>31</v>
      </c>
    </row>
    <row r="256">
      <c r="A256" s="12" t="str">
        <f>HYPERLINK("https://drive.google.com/drive/folders/1mJN9rFtsr1T3j6dqa8I8s4b-PAjo9DUB","Reddit Jumpchain Drive/Completed/Named Folders of Reddit/Megaman")</f>
        <v>Reddit Jumpchain Drive/Completed/Named Folders of Reddit/Megaman</v>
      </c>
      <c r="B256" s="4" t="s">
        <v>32</v>
      </c>
      <c r="C256" s="4" t="s">
        <v>31</v>
      </c>
    </row>
    <row r="257">
      <c r="A257" s="12" t="str">
        <f>HYPERLINK("https://drive.google.com/drive/folders/10eNQdWn7UXLKXskp5JnKmU1dvGVj-pEr","Reddit Jumpchain Drive/Completed/Named Folders of Reddit/The Blob")</f>
        <v>Reddit Jumpchain Drive/Completed/Named Folders of Reddit/The Blob</v>
      </c>
      <c r="B257" s="4" t="s">
        <v>32</v>
      </c>
      <c r="C257" s="4" t="s">
        <v>31</v>
      </c>
    </row>
    <row r="258">
      <c r="A258" s="12" t="str">
        <f>HYPERLINK("https://drive.google.com/drive/folders/1sIQmX4YQBSV40EsSeRI-IDbEC_-qXqnt","Reddit Jumpchain Drive/Completed/Named Folders of Reddit/Guyver")</f>
        <v>Reddit Jumpchain Drive/Completed/Named Folders of Reddit/Guyver</v>
      </c>
      <c r="B258" s="4" t="s">
        <v>32</v>
      </c>
      <c r="C258" s="4" t="s">
        <v>31</v>
      </c>
    </row>
    <row r="259">
      <c r="A259" s="12" t="str">
        <f>HYPERLINK("https://drive.google.com/drive/folders/1nV-U1k30E4uG8FZ8S0X3_SA3v0EvVcoy","Reddit Jumpchain Drive/Completed/Named Folders of Reddit/Undertale")</f>
        <v>Reddit Jumpchain Drive/Completed/Named Folders of Reddit/Undertale</v>
      </c>
      <c r="B259" s="4" t="s">
        <v>32</v>
      </c>
      <c r="C259" s="4" t="s">
        <v>31</v>
      </c>
    </row>
    <row r="260">
      <c r="A260" s="12" t="str">
        <f>HYPERLINK("https://drive.google.com/drive/folders/1t3D6_CbN4wiZ90sNQs9tpzV8ZuWJhxBL","Reddit Jumpchain Drive/Completed/Named Folders of Reddit/Air Gear")</f>
        <v>Reddit Jumpchain Drive/Completed/Named Folders of Reddit/Air Gear</v>
      </c>
      <c r="B260" s="4" t="s">
        <v>32</v>
      </c>
      <c r="C260" s="4" t="s">
        <v>31</v>
      </c>
    </row>
    <row r="261">
      <c r="A261" s="12" t="str">
        <f>HYPERLINK("https://drive.google.com/drive/folders/1JgOk2WSgGDOTtKNCvWt0iDAD23a-918N","Reddit Jumpchain Drive/Completed/Named Folders of Reddit/Pale")</f>
        <v>Reddit Jumpchain Drive/Completed/Named Folders of Reddit/Pale</v>
      </c>
      <c r="B261" s="4" t="s">
        <v>32</v>
      </c>
      <c r="C261" s="4" t="s">
        <v>31</v>
      </c>
    </row>
    <row r="262">
      <c r="A262" s="12" t="str">
        <f>HYPERLINK("https://drive.google.com/drive/folders/14IQ_U2cUq9aGq3vCtC5x3_1XWVTREriD","Reddit Jumpchain Drive/Completed/Named Folders of Reddit/Roblox")</f>
        <v>Reddit Jumpchain Drive/Completed/Named Folders of Reddit/Roblox</v>
      </c>
      <c r="B262" s="4" t="s">
        <v>32</v>
      </c>
      <c r="C262" s="4" t="s">
        <v>31</v>
      </c>
    </row>
    <row r="263">
      <c r="A263" s="12" t="str">
        <f>HYPERLINK("https://drive.google.com/drive/folders/1H52LT0C94feJ7Gw0WwRNkNtVboZpWRJm","Reddit Jumpchain Drive/Completed/Named Folders of Reddit/Diablo")</f>
        <v>Reddit Jumpchain Drive/Completed/Named Folders of Reddit/Diablo</v>
      </c>
      <c r="B263" s="4" t="s">
        <v>32</v>
      </c>
      <c r="C263" s="4" t="s">
        <v>31</v>
      </c>
    </row>
    <row r="264">
      <c r="A264" s="12" t="str">
        <f>HYPERLINK("https://drive.google.com/drive/folders/1Axx5PxUGbsw0NYEATdZ2zBmGKMtL8U6W","Reddit Jumpchain Drive/Completed/Named Folders of Reddit/Fallout")</f>
        <v>Reddit Jumpchain Drive/Completed/Named Folders of Reddit/Fallout</v>
      </c>
      <c r="B264" s="4" t="s">
        <v>32</v>
      </c>
      <c r="C264" s="4" t="s">
        <v>31</v>
      </c>
    </row>
    <row r="265">
      <c r="A265" s="12" t="str">
        <f>HYPERLINK("https://drive.google.com/drive/folders/1bGTEuJjVdy8LZoYQrA2fNpaz64s2-CMP","Reddit Jumpchain Drive/Completed/Named Folders of Reddit/Kamen Rider")</f>
        <v>Reddit Jumpchain Drive/Completed/Named Folders of Reddit/Kamen Rider</v>
      </c>
      <c r="B265" s="4" t="s">
        <v>32</v>
      </c>
      <c r="C265" s="4" t="s">
        <v>31</v>
      </c>
    </row>
    <row r="266">
      <c r="A266" s="12" t="str">
        <f>HYPERLINK("https://drive.google.com/drive/folders/1rbl1WZCGJOEmTFT5DW9vMmfGHmt6-igw","Reddit Jumpchain Drive/Completed/Named Folders of Reddit/SCP")</f>
        <v>Reddit Jumpchain Drive/Completed/Named Folders of Reddit/SCP</v>
      </c>
      <c r="B266" s="4" t="s">
        <v>32</v>
      </c>
      <c r="C266" s="4" t="s">
        <v>31</v>
      </c>
    </row>
    <row r="267">
      <c r="A267" s="12" t="str">
        <f>HYPERLINK("https://drive.google.com/drive/folders/1dqyHcgjr_g3F9-mkJpeUOOqCZpX1pYrr","Reddit Jumpchain Drive/Completed/Named Folders of Reddit/South Park")</f>
        <v>Reddit Jumpchain Drive/Completed/Named Folders of Reddit/South Park</v>
      </c>
      <c r="B267" s="4" t="s">
        <v>32</v>
      </c>
      <c r="C267" s="4" t="s">
        <v>31</v>
      </c>
    </row>
    <row r="268">
      <c r="A268" s="12" t="str">
        <f>HYPERLINK("https://drive.google.com/drive/folders/1OlTI4xm90nY0Rd5yEFtbYiygOCXss5Wf","Reddit Jumpchain Drive/Completed/Named Folders of Reddit/Fire Emblem")</f>
        <v>Reddit Jumpchain Drive/Completed/Named Folders of Reddit/Fire Emblem</v>
      </c>
      <c r="B268" s="4" t="s">
        <v>32</v>
      </c>
      <c r="C268" s="4" t="s">
        <v>31</v>
      </c>
    </row>
    <row r="269">
      <c r="A269" s="12" t="str">
        <f>HYPERLINK("https://drive.google.com/drive/folders/1ehODkhKWxgPoKaJG8UvQDqTRlaUad7ei","Reddit Jumpchain Drive/Completed/Named Folders of Reddit/Gmod")</f>
        <v>Reddit Jumpchain Drive/Completed/Named Folders of Reddit/Gmod</v>
      </c>
      <c r="B269" s="4" t="s">
        <v>32</v>
      </c>
      <c r="C269" s="4" t="s">
        <v>31</v>
      </c>
    </row>
    <row r="270">
      <c r="A270" s="12" t="str">
        <f>HYPERLINK("https://drive.google.com/drive/folders/1WOHNuZR3fijw1e2dg_gb3cixsgy_4jbZ","Reddit Jumpchain Drive/Completed/Named Folders of Reddit/Mario")</f>
        <v>Reddit Jumpchain Drive/Completed/Named Folders of Reddit/Mario</v>
      </c>
      <c r="B270" s="4" t="s">
        <v>32</v>
      </c>
      <c r="C270" s="4" t="s">
        <v>31</v>
      </c>
    </row>
    <row r="271">
      <c r="A271" s="12" t="str">
        <f>HYPERLINK("https://drive.google.com/drive/folders/1bDBjsDFoyue70eOjUyQsIeJhn4UGm7BE","Reddit Jumpchain Drive/Completed/Named Folders of Reddit/Devil is a Part Timer")</f>
        <v>Reddit Jumpchain Drive/Completed/Named Folders of Reddit/Devil is a Part Timer</v>
      </c>
      <c r="B271" s="4" t="s">
        <v>32</v>
      </c>
      <c r="C271" s="4" t="s">
        <v>31</v>
      </c>
    </row>
    <row r="272">
      <c r="A272" s="12" t="str">
        <f>HYPERLINK("https://drive.google.com/drive/folders/1SefNfLpQcBmxyHL2OCWM2evZGjcNh0ig","Reddit Jumpchain Drive/Completed/Named Folders of Reddit/Final Fantasy ")</f>
        <v>Reddit Jumpchain Drive/Completed/Named Folders of Reddit/Final Fantasy </v>
      </c>
      <c r="B272" s="4" t="s">
        <v>32</v>
      </c>
      <c r="C272" s="4" t="s">
        <v>31</v>
      </c>
    </row>
    <row r="273">
      <c r="A273" s="12" t="str">
        <f>HYPERLINK("https://drive.google.com/drive/folders/1OJgZiiKpwOZfVgr2I11yVdgZ2Sab5STc","Reddit Jumpchain Drive/Completed/Named Folders of Reddit/Noita")</f>
        <v>Reddit Jumpchain Drive/Completed/Named Folders of Reddit/Noita</v>
      </c>
      <c r="B273" s="4" t="s">
        <v>32</v>
      </c>
      <c r="C273" s="4" t="s">
        <v>31</v>
      </c>
    </row>
    <row r="274">
      <c r="A274" s="12" t="str">
        <f>HYPERLINK("https://drive.google.com/drive/folders/1C9qrqpklBh-Noo5LeKYh2foOss7Dbwuq","Reddit Jumpchain Drive/Completed/Named Folders of Reddit/DC")</f>
        <v>Reddit Jumpchain Drive/Completed/Named Folders of Reddit/DC</v>
      </c>
      <c r="B274" s="4" t="s">
        <v>32</v>
      </c>
      <c r="C274" s="4" t="s">
        <v>31</v>
      </c>
    </row>
    <row r="275">
      <c r="A275" s="12" t="str">
        <f>HYPERLINK("https://drive.google.com/drive/folders/14zXjNp0uLxEn0LPyRmuZN16RCWL0HIJX","Reddit Jumpchain Drive/Completed/Named Folders of Reddit/Kirby Franchise")</f>
        <v>Reddit Jumpchain Drive/Completed/Named Folders of Reddit/Kirby Franchise</v>
      </c>
      <c r="B275" s="4" t="s">
        <v>32</v>
      </c>
      <c r="C275" s="4" t="s">
        <v>31</v>
      </c>
    </row>
    <row r="276">
      <c r="A276" s="12" t="str">
        <f>HYPERLINK("https://drive.google.com/drive/folders/1xpkO8q4_Q_WyjHBXV5drbzoMc0y5ep1L","Reddit Jumpchain Drive/Completed/Named Folders of Reddit/Kirby Franchise/Kirby Anime")</f>
        <v>Reddit Jumpchain Drive/Completed/Named Folders of Reddit/Kirby Franchise/Kirby Anime</v>
      </c>
      <c r="B276" s="4" t="s">
        <v>32</v>
      </c>
      <c r="C276" s="4" t="s">
        <v>31</v>
      </c>
    </row>
    <row r="277">
      <c r="A277" s="12" t="str">
        <f>HYPERLINK("https://drive.google.com/drive/folders/13JtkFor0waSHJL1cu3PSaUb_-CmUYJpS","Reddit Jumpchain Drive/Completed/Named Folders of Reddit/Kirby Franchise/Kirby Anime/Kirby Right Back at Ya")</f>
        <v>Reddit Jumpchain Drive/Completed/Named Folders of Reddit/Kirby Franchise/Kirby Anime/Kirby Right Back at Ya</v>
      </c>
      <c r="B277" s="4" t="s">
        <v>32</v>
      </c>
      <c r="C277" s="4" t="s">
        <v>31</v>
      </c>
    </row>
    <row r="278">
      <c r="A278" s="12" t="str">
        <f>HYPERLINK("https://drive.google.com/drive/folders/1VntyoXMH0JeqvrVwzDnKoRZmHmXgX3gI","Reddit Jumpchain Drive/Completed/Named Folders of Reddit/Kirby Franchise/Kirby Anime/Hoshi no Kaabii")</f>
        <v>Reddit Jumpchain Drive/Completed/Named Folders of Reddit/Kirby Franchise/Kirby Anime/Hoshi no Kaabii</v>
      </c>
      <c r="B278" s="4" t="s">
        <v>32</v>
      </c>
      <c r="C278" s="4" t="s">
        <v>31</v>
      </c>
    </row>
    <row r="279">
      <c r="A279" s="12" t="str">
        <f>HYPERLINK("https://drive.google.com/drive/folders/17IXyrE5dIov1mNnHGClJsJlC2eCnDXlG","Reddit Jumpchain Drive/Completed/Named Folders of Reddit/Kirby Franchise/Kirby Games")</f>
        <v>Reddit Jumpchain Drive/Completed/Named Folders of Reddit/Kirby Franchise/Kirby Games</v>
      </c>
      <c r="B279" s="4" t="s">
        <v>32</v>
      </c>
      <c r="C279" s="4" t="s">
        <v>31</v>
      </c>
    </row>
    <row r="280">
      <c r="A280" s="12" t="str">
        <f>HYPERLINK("https://drive.google.com/drive/folders/1hyfN6e61x2BmMoDRvTPWw5CfUVy4bZzl","Reddit Jumpchain Drive/Completed/Named Folders of Reddit/Naruto")</f>
        <v>Reddit Jumpchain Drive/Completed/Named Folders of Reddit/Naruto</v>
      </c>
      <c r="B280" s="4" t="s">
        <v>32</v>
      </c>
      <c r="C280" s="4" t="s">
        <v>31</v>
      </c>
    </row>
    <row r="281">
      <c r="A281" s="12" t="str">
        <f>HYPERLINK("https://drive.google.com/drive/folders/1eZBx33AjuwCbt4s5OLeySdpBin9ld4hl","Reddit Jumpchain Drive/Completed/Named Folders of Reddit/Little Nightmares")</f>
        <v>Reddit Jumpchain Drive/Completed/Named Folders of Reddit/Little Nightmares</v>
      </c>
      <c r="B281" s="4" t="s">
        <v>32</v>
      </c>
      <c r="C281" s="4" t="s">
        <v>31</v>
      </c>
    </row>
    <row r="282">
      <c r="A282" s="12" t="str">
        <f>HYPERLINK("https://drive.google.com/drive/folders/1f6Tr8-OiNJ0c6sIiDdAOPLRYrSc4rjed","Reddit Jumpchain Drive/Completed/Named Folders of Reddit/Marvel")</f>
        <v>Reddit Jumpchain Drive/Completed/Named Folders of Reddit/Marvel</v>
      </c>
      <c r="B282" s="4" t="s">
        <v>32</v>
      </c>
      <c r="C282" s="4" t="s">
        <v>31</v>
      </c>
    </row>
    <row r="283">
      <c r="A283" s="12" t="str">
        <f>HYPERLINK("https://drive.google.com/drive/folders/1b9LFCZRbZK-SXUJZ4Y8txBg_GPPi0uCM","Reddit Jumpchain Drive/Completed/Named Folders of Reddit/Marvel/Planet Hulk Saga")</f>
        <v>Reddit Jumpchain Drive/Completed/Named Folders of Reddit/Marvel/Planet Hulk Saga</v>
      </c>
      <c r="B283" s="4" t="s">
        <v>32</v>
      </c>
      <c r="C283" s="4" t="s">
        <v>31</v>
      </c>
    </row>
    <row r="284">
      <c r="A284" s="12" t="str">
        <f>HYPERLINK("https://drive.google.com/drive/folders/1ohEtMFImW1NqRfh_P2U9k2jwvsmRNrrY","Reddit Jumpchain Drive/Completed/Named Folders of Reddit/Ori")</f>
        <v>Reddit Jumpchain Drive/Completed/Named Folders of Reddit/Ori</v>
      </c>
      <c r="B284" s="4" t="s">
        <v>32</v>
      </c>
      <c r="C284" s="4" t="s">
        <v>31</v>
      </c>
    </row>
    <row r="285">
      <c r="A285" s="12" t="str">
        <f>HYPERLINK("https://drive.google.com/drive/folders/1d8F-GODt6B1ecTfXijv2g_Gr_YXfAI4X","Reddit Jumpchain Drive/Completed/Named Folders of Reddit/Persona")</f>
        <v>Reddit Jumpchain Drive/Completed/Named Folders of Reddit/Persona</v>
      </c>
      <c r="B285" s="4" t="s">
        <v>32</v>
      </c>
      <c r="C285" s="4" t="s">
        <v>31</v>
      </c>
    </row>
    <row r="286">
      <c r="A286" s="12" t="str">
        <f>HYPERLINK("https://drive.google.com/drive/folders/1nO3yvcZ0ragWqj8EP83aR-Ktc3evBB5t","Reddit Jumpchain Drive/Completed/Named Folders of Reddit/Pokemon")</f>
        <v>Reddit Jumpchain Drive/Completed/Named Folders of Reddit/Pokemon</v>
      </c>
      <c r="B286" s="4" t="s">
        <v>32</v>
      </c>
      <c r="C286" s="4" t="s">
        <v>31</v>
      </c>
    </row>
    <row r="287">
      <c r="A287" s="12" t="str">
        <f>HYPERLINK("https://drive.google.com/drive/folders/1Xkcyhenquj1BMt1XTwC3ByzSxAFdB8zi","Reddit Jumpchain Drive/Completed/Named Folders of Reddit/Yu-Gi-Oh!")</f>
        <v>Reddit Jumpchain Drive/Completed/Named Folders of Reddit/Yu-Gi-Oh!</v>
      </c>
      <c r="B287" s="4" t="s">
        <v>32</v>
      </c>
      <c r="C287" s="4" t="s">
        <v>31</v>
      </c>
    </row>
    <row r="288">
      <c r="A288" s="12" t="str">
        <f>HYPERLINK("https://drive.google.com/drive/folders/16jG0tdTKWOM5i7IWe2Zj7qLbPU3BwNYD","Reddit Jumpchain Drive/Completed/Named Folders of Reddit/Disney")</f>
        <v>Reddit Jumpchain Drive/Completed/Named Folders of Reddit/Disney</v>
      </c>
      <c r="B288" s="4" t="s">
        <v>32</v>
      </c>
      <c r="C288" s="4" t="s">
        <v>31</v>
      </c>
    </row>
    <row r="289">
      <c r="A289" s="12" t="str">
        <f>HYPERLINK("https://drive.google.com/drive/folders/1pGBtZHwdWyU-T5pmu4cydEeo18ePkHjx","Reddit Jumpchain Drive/Completed/Named Folders of Reddit/Cartoon Network")</f>
        <v>Reddit Jumpchain Drive/Completed/Named Folders of Reddit/Cartoon Network</v>
      </c>
      <c r="B289" s="4" t="s">
        <v>32</v>
      </c>
      <c r="C289" s="4" t="s">
        <v>31</v>
      </c>
    </row>
    <row r="290">
      <c r="A290" s="12" t="str">
        <f>HYPERLINK("https://drive.google.com/drive/folders/1lrYdIfcxAJKJetePqPYGuS9mIFU35Tsu","Reddit Jumpchain Drive/Completed/Named Folders of Reddit/Cartoon Network/Powerpuff Girls")</f>
        <v>Reddit Jumpchain Drive/Completed/Named Folders of Reddit/Cartoon Network/Powerpuff Girls</v>
      </c>
      <c r="B290" s="4" t="s">
        <v>32</v>
      </c>
      <c r="C290" s="4" t="s">
        <v>31</v>
      </c>
    </row>
    <row r="291">
      <c r="A291" s="12" t="str">
        <f>HYPERLINK("https://drive.google.com/drive/folders/1rBcuGRxzRrgraZ_x7G8CFmEWhJm-STAl","Reddit Jumpchain Drive/Completed/Named Folders of Reddit/TMNT")</f>
        <v>Reddit Jumpchain Drive/Completed/Named Folders of Reddit/TMNT</v>
      </c>
      <c r="B291" s="4" t="s">
        <v>32</v>
      </c>
      <c r="C291" s="4" t="s">
        <v>31</v>
      </c>
    </row>
    <row r="292">
      <c r="A292" s="12" t="str">
        <f>HYPERLINK("https://drive.google.com/drive/folders/1RB3pNSt8dISAIyP4auKiYc-3kHcr9c7V","Reddit Jumpchain Drive/Completed/Named Folders of Reddit/Elder Scrolls")</f>
        <v>Reddit Jumpchain Drive/Completed/Named Folders of Reddit/Elder Scrolls</v>
      </c>
      <c r="B292" s="4" t="s">
        <v>32</v>
      </c>
      <c r="C292" s="4" t="s">
        <v>31</v>
      </c>
    </row>
    <row r="293">
      <c r="A293" s="12" t="str">
        <f>HYPERLINK("https://drive.google.com/drive/folders/1ibcTJX2T2_T2JjGSEToM1U5LtVW-qmSu","Reddit Jumpchain Drive/Completed/Named Folders of Reddit/My Little Pony: Friendship is Magic")</f>
        <v>Reddit Jumpchain Drive/Completed/Named Folders of Reddit/My Little Pony: Friendship is Magic</v>
      </c>
      <c r="B293" s="4" t="s">
        <v>32</v>
      </c>
      <c r="C293" s="4" t="s">
        <v>31</v>
      </c>
    </row>
    <row r="294">
      <c r="A294" s="12" t="str">
        <f>HYPERLINK("https://drive.google.com/drive/folders/1kvOI13tgf0OGFZ2sh3qDHKOJlz2QdUrj","Reddit Jumpchain Drive/Completed/Named Folders of Reddit/King of Fighters")</f>
        <v>Reddit Jumpchain Drive/Completed/Named Folders of Reddit/King of Fighters</v>
      </c>
      <c r="B294" s="4" t="s">
        <v>32</v>
      </c>
      <c r="C294" s="4" t="s">
        <v>31</v>
      </c>
    </row>
    <row r="295">
      <c r="A295" s="12" t="str">
        <f>HYPERLINK("https://drive.google.com/drive/folders/1KPkGZ0GlH3elWP524DXhyzRr3kujsSvz","Reddit Jumpchain Drive/Completed/Named Folders of Reddit/Cultist Simulator")</f>
        <v>Reddit Jumpchain Drive/Completed/Named Folders of Reddit/Cultist Simulator</v>
      </c>
      <c r="B295" s="4" t="s">
        <v>32</v>
      </c>
      <c r="C295" s="4" t="s">
        <v>31</v>
      </c>
    </row>
    <row r="296">
      <c r="A296" s="12" t="str">
        <f>HYPERLINK("https://drive.google.com/drive/folders/1A54q0c6QikYfHgH0F1FFp6Ug_LQ9Cv-4","Reddit Jumpchain Drive/Completed/Named Folders of Reddit/JoJo")</f>
        <v>Reddit Jumpchain Drive/Completed/Named Folders of Reddit/JoJo</v>
      </c>
      <c r="B296" s="4" t="s">
        <v>32</v>
      </c>
      <c r="C296" s="4" t="s">
        <v>31</v>
      </c>
    </row>
    <row r="297">
      <c r="A297" s="12" t="str">
        <f>HYPERLINK("https://drive.google.com/drive/folders/1_pqHY7qSVQwyDoMCJq8pMfwkfFF4L0-a","Reddit Jumpchain Drive/Completed/Named Folders of Reddit/Previous version of Reddit Jumps")</f>
        <v>Reddit Jumpchain Drive/Completed/Named Folders of Reddit/Previous version of Reddit Jumps</v>
      </c>
      <c r="B297" s="4" t="s">
        <v>32</v>
      </c>
      <c r="C297" s="4" t="s">
        <v>31</v>
      </c>
    </row>
    <row r="298">
      <c r="A298" s="12" t="str">
        <f>HYPERLINK("https://drive.google.com/drive/folders/1GUSUz3dfGCeae1b9JFkiCLfQ0iXxwt8i","Reddit Jumpchain Drive/Completed/Named Folders of Reddit/Star Wars")</f>
        <v>Reddit Jumpchain Drive/Completed/Named Folders of Reddit/Star Wars</v>
      </c>
      <c r="B298" s="4" t="s">
        <v>32</v>
      </c>
      <c r="C298" s="4" t="s">
        <v>31</v>
      </c>
    </row>
    <row r="299">
      <c r="A299" s="12" t="str">
        <f>HYPERLINK("https://drive.google.com/drive/folders/1Ev3eKHyQIjp4UJRjrDHdDHeikGClexTD","Reddit Jumpchain Drive/Completed/Named Folders of Reddit/SAO")</f>
        <v>Reddit Jumpchain Drive/Completed/Named Folders of Reddit/SAO</v>
      </c>
      <c r="B299" s="4" t="s">
        <v>32</v>
      </c>
      <c r="C299" s="4" t="s">
        <v>31</v>
      </c>
    </row>
    <row r="300">
      <c r="A300" s="12" t="str">
        <f>HYPERLINK("https://drive.google.com/drive/folders/1_B-D0qKPWES4kjuRq0nRoUjrOBEmqrUz","Reddit Jumpchain Drive/Completed/Named Folders of Reddit/Dragon Quest Series")</f>
        <v>Reddit Jumpchain Drive/Completed/Named Folders of Reddit/Dragon Quest Series</v>
      </c>
      <c r="B300" s="4" t="s">
        <v>32</v>
      </c>
      <c r="C300" s="4" t="s">
        <v>31</v>
      </c>
    </row>
    <row r="301">
      <c r="A301" s="12" t="str">
        <f>HYPERLINK("https://drive.google.com/drive/folders/1bO88-yfBZE078IMXfFaqcjbx4MzeyQX7","Reddit Jumpchain Drive/Completed/Named Folders of Reddit/Artix Entertainment")</f>
        <v>Reddit Jumpchain Drive/Completed/Named Folders of Reddit/Artix Entertainment</v>
      </c>
      <c r="B301" s="4" t="s">
        <v>32</v>
      </c>
      <c r="C301" s="4" t="s">
        <v>31</v>
      </c>
    </row>
    <row r="302">
      <c r="A302" s="12" t="str">
        <f>HYPERLINK("https://drive.google.com/drive/folders/1T6CNw2lcUUkkXVDu0_S81ZXzIkmBlAwV","Reddit Jumpchain Drive/Completed/Named Folders of Reddit/Hollow Knight Collection")</f>
        <v>Reddit Jumpchain Drive/Completed/Named Folders of Reddit/Hollow Knight Collection</v>
      </c>
      <c r="B302" s="4" t="s">
        <v>32</v>
      </c>
      <c r="C302" s="4" t="s">
        <v>31</v>
      </c>
    </row>
    <row r="303">
      <c r="A303" s="12" t="str">
        <f>HYPERLINK("https://drive.google.com/drive/folders/1dkvyk6ReEp_F_0mGDZ_BV8dt3zSpiW-0","Reddit Jumpchain Drive/Completed/Named Folders of Reddit/Bionicle")</f>
        <v>Reddit Jumpchain Drive/Completed/Named Folders of Reddit/Bionicle</v>
      </c>
      <c r="B303" s="4" t="s">
        <v>32</v>
      </c>
      <c r="C303" s="4" t="s">
        <v>31</v>
      </c>
    </row>
    <row r="304">
      <c r="A304" s="12" t="str">
        <f>HYPERLINK("https://drive.google.com/drive/folders/179h8xn6qqpFzXTwibiYHivTE9zVm8y3J","Reddit Jumpchain Drive/Completed/Named Folders of Reddit/Crash Team Racing Jumpchain Image version")</f>
        <v>Reddit Jumpchain Drive/Completed/Named Folders of Reddit/Crash Team Racing Jumpchain Image version</v>
      </c>
      <c r="B304" s="4" t="s">
        <v>32</v>
      </c>
      <c r="C304" s="4" t="s">
        <v>31</v>
      </c>
    </row>
    <row r="305">
      <c r="A305" s="12" t="str">
        <f>HYPERLINK("https://drive.google.com/drive/folders/1KRU_qAYC4w94DEHAfcJGiWsk99unbHi6","Reddit Jumpchain Drive/Completed/Joke")</f>
        <v>Reddit Jumpchain Drive/Completed/Joke</v>
      </c>
      <c r="B305" s="4" t="s">
        <v>32</v>
      </c>
      <c r="C305" s="4" t="s">
        <v>31</v>
      </c>
    </row>
    <row r="306">
      <c r="A306" s="12" t="str">
        <f>HYPERLINK("https://drive.google.com/drive/folders/1UER_HE6K84PGFXnjmBj68g-EJ6mEbeS_","Reddit Jumpchain Drive/Completed/Gauntlet")</f>
        <v>Reddit Jumpchain Drive/Completed/Gauntlet</v>
      </c>
      <c r="B306" s="4" t="s">
        <v>34</v>
      </c>
      <c r="C306" s="4" t="s">
        <v>31</v>
      </c>
    </row>
    <row r="307">
      <c r="A307" s="12" t="str">
        <f>HYPERLINK("https://drive.google.com/drive/folders/1sVc0yAi2_5EysV8c3beieU7t8Q29b40K","Reddit Jumpchain Drive/Completed/Generic")</f>
        <v>Reddit Jumpchain Drive/Completed/Generic</v>
      </c>
      <c r="B307" s="4" t="s">
        <v>32</v>
      </c>
      <c r="C307" s="4" t="s">
        <v>31</v>
      </c>
    </row>
    <row r="308">
      <c r="A308" s="12" t="str">
        <f>HYPERLINK("https://drive.google.com/drive/folders/1amujH9D0jPlRtwfCgabPJdZwTbJ9lbRA","Reddit Jumpchain Drive/Completed/Generic/Generic Divinity")</f>
        <v>Reddit Jumpchain Drive/Completed/Generic/Generic Divinity</v>
      </c>
      <c r="B308" s="4" t="s">
        <v>32</v>
      </c>
      <c r="C308" s="4" t="s">
        <v>31</v>
      </c>
    </row>
    <row r="309">
      <c r="A309" s="12" t="str">
        <f>HYPERLINK("https://drive.google.com/drive/folders/12PvfnrobDs0XE9acpd1zTDHwrW3IVxFa","Reddit Jumpchain Drive/Uploads")</f>
        <v>Reddit Jumpchain Drive/Uploads</v>
      </c>
      <c r="B309" s="4" t="s">
        <v>30</v>
      </c>
      <c r="C309" s="4" t="s">
        <v>31</v>
      </c>
    </row>
    <row r="310">
      <c r="A310" s="12" t="str">
        <f>HYPERLINK("https://drive.google.com/drive/folders/1gep4Vu5pk515EOntEn___0Cdc2elA64x","Reddit Jumpchain Drive/Supplements")</f>
        <v>Reddit Jumpchain Drive/Supplements</v>
      </c>
      <c r="B310" s="4" t="s">
        <v>33</v>
      </c>
      <c r="C310" s="4" t="s">
        <v>31</v>
      </c>
    </row>
    <row r="311">
      <c r="A311" s="12" t="str">
        <f>HYPERLINK("https://drive.google.com/drive/folders/1DWEdMDoH0y81iz-EbcyujS-QrvnWXCGh","SB Drive/Uploads For New Jumps")</f>
        <v>SB Drive/Uploads For New Jumps</v>
      </c>
      <c r="B311" s="4" t="s">
        <v>30</v>
      </c>
      <c r="C311" s="4" t="s">
        <v>31</v>
      </c>
    </row>
    <row r="312">
      <c r="A312" s="12" t="str">
        <f>HYPERLINK("https://drive.google.com/drive/folders/0By8NY-NO4-N5dHAwQWpERy1qcFk?resourcekey=0-K-lhrHgGx1Wl6z5RGfw1TQ","SB Drive/Complete jumps")</f>
        <v>SB Drive/Complete jumps</v>
      </c>
      <c r="B312" s="4" t="s">
        <v>32</v>
      </c>
      <c r="C312" s="4" t="s">
        <v>31</v>
      </c>
    </row>
    <row r="313">
      <c r="A313" s="12" t="str">
        <f>HYPERLINK("https://drive.google.com/drive/folders/1HE9130P4E81wUm4WMZTFggADqmOflr44","SB Drive/Complete jumps/Joke Jumps")</f>
        <v>SB Drive/Complete jumps/Joke Jumps</v>
      </c>
      <c r="B313" s="4" t="s">
        <v>32</v>
      </c>
      <c r="C313" s="4" t="s">
        <v>31</v>
      </c>
    </row>
    <row r="314">
      <c r="A314" s="12" t="str">
        <f>HYPERLINK("https://drive.google.com/drive/folders/1oQt4OuHhnb8QVfnv2OtSqhP1LKsd3Gnb","SB Drive/Complete jumps/Generics")</f>
        <v>SB Drive/Complete jumps/Generics</v>
      </c>
      <c r="B314" s="4" t="s">
        <v>32</v>
      </c>
      <c r="C314" s="4" t="s">
        <v>31</v>
      </c>
    </row>
    <row r="315">
      <c r="A315" s="12" t="str">
        <f>HYPERLINK("https://drive.google.com/drive/folders/1FcsgFTJ0JrfVdvw_66UZXrVsyA3eVOaM","SB Drive/Complete jumps/Alphabetical - U, V, W, X, Y, Z")</f>
        <v>SB Drive/Complete jumps/Alphabetical - U, V, W, X, Y, Z</v>
      </c>
      <c r="B315" s="4" t="s">
        <v>32</v>
      </c>
      <c r="C315" s="4" t="s">
        <v>31</v>
      </c>
    </row>
    <row r="316">
      <c r="A316" s="12" t="str">
        <f>HYPERLINK("https://drive.google.com/drive/folders/1N-0896PCpRsWS9YCw6aqA1Dh7gElHqnJ","SB Drive/Complete jumps/Alphabetical - P, Q, R, S, T")</f>
        <v>SB Drive/Complete jumps/Alphabetical - P, Q, R, S, T</v>
      </c>
      <c r="B316" s="4" t="s">
        <v>32</v>
      </c>
      <c r="C316" s="4" t="s">
        <v>31</v>
      </c>
    </row>
    <row r="317">
      <c r="A317" s="12" t="str">
        <f>HYPERLINK("https://drive.google.com/drive/folders/1ZR8_t6cyduSzoWGkaYprtOh_zrpNevrG","SB Drive/Complete jumps/Alphabetical - K, L, M, N, O")</f>
        <v>SB Drive/Complete jumps/Alphabetical - K, L, M, N, O</v>
      </c>
      <c r="B317" s="4" t="s">
        <v>32</v>
      </c>
      <c r="C317" s="4" t="s">
        <v>31</v>
      </c>
    </row>
    <row r="318">
      <c r="A318" s="12" t="str">
        <f>HYPERLINK("https://drive.google.com/drive/folders/1W4TgZ0c4Zlo9-NQE962RKn-vvp5st8Kj","SB Drive/Complete jumps/Alphabetical - F, G, H, I, J")</f>
        <v>SB Drive/Complete jumps/Alphabetical - F, G, H, I, J</v>
      </c>
      <c r="B318" s="4" t="s">
        <v>32</v>
      </c>
      <c r="C318" s="4" t="s">
        <v>31</v>
      </c>
    </row>
    <row r="319">
      <c r="A319" s="12" t="str">
        <f>HYPERLINK("https://drive.google.com/drive/folders/1ZAafJJUSBRK7zRAEKFEWE-Og-p4IhZOw","SB Drive/Complete jumps/Alphabetical - A, B, C, D, E")</f>
        <v>SB Drive/Complete jumps/Alphabetical - A, B, C, D, E</v>
      </c>
      <c r="B319" s="4" t="s">
        <v>32</v>
      </c>
      <c r="C319" s="4" t="s">
        <v>31</v>
      </c>
    </row>
    <row r="320">
      <c r="A320" s="12" t="str">
        <f>HYPERLINK("https://drive.google.com/drive/folders/1I3XtqK8lPBr3FKAKXwzjRyfgGFILG81D","SB Drive/Complete jumps/Series")</f>
        <v>SB Drive/Complete jumps/Series</v>
      </c>
      <c r="B320" s="4" t="s">
        <v>32</v>
      </c>
      <c r="C320" s="4" t="s">
        <v>31</v>
      </c>
    </row>
    <row r="321">
      <c r="A321" s="12" t="str">
        <f>HYPERLINK("https://drive.google.com/drive/folders/175-z_mueHOttIWzh2F2VXZ0iJRsVS_JO","SB Drive/Complete jumps/Series/GURPS")</f>
        <v>SB Drive/Complete jumps/Series/GURPS</v>
      </c>
      <c r="B321" s="4" t="s">
        <v>32</v>
      </c>
      <c r="C321" s="4" t="s">
        <v>31</v>
      </c>
    </row>
    <row r="322">
      <c r="A322" s="12" t="str">
        <f>HYPERLINK("https://drive.google.com/drive/folders/1tFzZL3OMjsFN-9eB5D-zLX25NwxnFkEV","SB Drive/Complete jumps/Series/Kirby")</f>
        <v>SB Drive/Complete jumps/Series/Kirby</v>
      </c>
      <c r="B322" s="4" t="s">
        <v>32</v>
      </c>
      <c r="C322" s="4" t="s">
        <v>31</v>
      </c>
    </row>
    <row r="323">
      <c r="A323" s="12" t="str">
        <f>HYPERLINK("https://drive.google.com/drive/folders/1wOK70DVZ8x3MYHTMV-N13xbA27eJKa7K","SB Drive/Complete jumps/Series/Ravenwood")</f>
        <v>SB Drive/Complete jumps/Series/Ravenwood</v>
      </c>
      <c r="B323" s="4" t="s">
        <v>32</v>
      </c>
      <c r="C323" s="4" t="s">
        <v>31</v>
      </c>
    </row>
    <row r="324">
      <c r="A324" s="12" t="str">
        <f>HYPERLINK("https://drive.google.com/drive/folders/17og0RxS3A1fWTuc2fmBvZJbfm9ct77Ya","SB Drive/Complete jumps/Series/A Wizard's Keychains")</f>
        <v>SB Drive/Complete jumps/Series/A Wizard's Keychains</v>
      </c>
      <c r="B324" s="4" t="s">
        <v>32</v>
      </c>
      <c r="C324" s="4" t="s">
        <v>31</v>
      </c>
    </row>
    <row r="325">
      <c r="A325" s="12" t="str">
        <f>HYPERLINK("https://drive.google.com/drive/folders/1ug7KPxck8cOOcOFyVnNpsfVk1kw0W1Kt","SB Drive/Complete jumps/Series/Legend of Zelda")</f>
        <v>SB Drive/Complete jumps/Series/Legend of Zelda</v>
      </c>
      <c r="B325" s="4" t="s">
        <v>32</v>
      </c>
      <c r="C325" s="4" t="s">
        <v>31</v>
      </c>
    </row>
    <row r="326">
      <c r="A326" s="12" t="str">
        <f>HYPERLINK("https://drive.google.com/drive/folders/11S7ZM-MvC-P08FLABlbBb30EdBF0dbFW","SB Drive/Complete jumps/Series/Diablo")</f>
        <v>SB Drive/Complete jumps/Series/Diablo</v>
      </c>
      <c r="B326" s="4" t="s">
        <v>32</v>
      </c>
      <c r="C326" s="4" t="s">
        <v>31</v>
      </c>
    </row>
    <row r="327">
      <c r="A327" s="12" t="str">
        <f>HYPERLINK("https://drive.google.com/drive/folders/1KBYLnp93Hhf-JXr3IaT-JUCbHU5aE763","SB Drive/Complete jumps/Series/Enderverse")</f>
        <v>SB Drive/Complete jumps/Series/Enderverse</v>
      </c>
      <c r="B327" s="4" t="s">
        <v>32</v>
      </c>
      <c r="C327" s="4" t="s">
        <v>31</v>
      </c>
    </row>
    <row r="328">
      <c r="A328" s="12" t="str">
        <f>HYPERLINK("https://drive.google.com/drive/folders/10jzaPoCeXwNt_rXBkCR3aAEWVGQYhUUG","SB Drive/Complete jumps/Series/Mass Effect")</f>
        <v>SB Drive/Complete jumps/Series/Mass Effect</v>
      </c>
      <c r="B328" s="4" t="s">
        <v>32</v>
      </c>
      <c r="C328" s="4" t="s">
        <v>31</v>
      </c>
    </row>
    <row r="329">
      <c r="A329" s="12" t="str">
        <f>HYPERLINK("https://drive.google.com/drive/folders/1srDAYzuZiuHGWyva1OS7NTYbstz0xICA","SB Drive/Complete jumps/Series/Cosmere")</f>
        <v>SB Drive/Complete jumps/Series/Cosmere</v>
      </c>
      <c r="B329" s="4" t="s">
        <v>32</v>
      </c>
      <c r="C329" s="4" t="s">
        <v>31</v>
      </c>
    </row>
    <row r="330">
      <c r="A330" s="12" t="str">
        <f>HYPERLINK("https://drive.google.com/drive/folders/1V1hQn-l_9_E_9VvZvgmb83hLiwmldb1q","SB Drive/Complete jumps/Series/Destroy The Godmodder")</f>
        <v>SB Drive/Complete jumps/Series/Destroy The Godmodder</v>
      </c>
      <c r="B330" s="4" t="s">
        <v>32</v>
      </c>
      <c r="C330" s="4" t="s">
        <v>31</v>
      </c>
    </row>
    <row r="331">
      <c r="A331" s="12" t="str">
        <f>HYPERLINK("https://drive.google.com/drive/folders/1ePWtMJbKeUwzIjFrQQKGruPD_67yTmM1","SB Drive/Complete jumps/Series/Xenoblade")</f>
        <v>SB Drive/Complete jumps/Series/Xenoblade</v>
      </c>
      <c r="B331" s="4" t="s">
        <v>32</v>
      </c>
      <c r="C331" s="4" t="s">
        <v>31</v>
      </c>
    </row>
    <row r="332">
      <c r="A332" s="12" t="str">
        <f>HYPERLINK("https://drive.google.com/drive/folders/1ljc0qFiUc4bjWpZTYVBo4xnaTAgsmeFR","SB Drive/Complete jumps/Series/Power Rangers")</f>
        <v>SB Drive/Complete jumps/Series/Power Rangers</v>
      </c>
      <c r="B332" s="4" t="s">
        <v>32</v>
      </c>
      <c r="C332" s="4" t="s">
        <v>31</v>
      </c>
    </row>
    <row r="333">
      <c r="A333" s="12" t="str">
        <f>HYPERLINK("https://drive.google.com/drive/folders/1MdxB0gDYzdHl1pTv5nwR-C3zw0JgdfL_","SB Drive/Complete jumps/Series/Wheel of Time")</f>
        <v>SB Drive/Complete jumps/Series/Wheel of Time</v>
      </c>
      <c r="B333" s="4" t="s">
        <v>32</v>
      </c>
      <c r="C333" s="4" t="s">
        <v>31</v>
      </c>
    </row>
    <row r="334">
      <c r="A334" s="12" t="str">
        <f>HYPERLINK("https://drive.google.com/drive/folders/1mKzs3GoLSordkYxyUglTmUCMlV4KFm62","SB Drive/Complete jumps/Series/Sword Art Online")</f>
        <v>SB Drive/Complete jumps/Series/Sword Art Online</v>
      </c>
      <c r="B334" s="4" t="s">
        <v>32</v>
      </c>
      <c r="C334" s="4" t="s">
        <v>31</v>
      </c>
    </row>
    <row r="335">
      <c r="A335" s="12" t="str">
        <f>HYPERLINK("https://drive.google.com/drive/folders/10IMkL43Y_-FLxAsYTHV1v0NroPsEzx63","SB Drive/Complete jumps/Series/Supreme Commander")</f>
        <v>SB Drive/Complete jumps/Series/Supreme Commander</v>
      </c>
      <c r="B335" s="4" t="s">
        <v>32</v>
      </c>
      <c r="C335" s="4" t="s">
        <v>31</v>
      </c>
    </row>
    <row r="336">
      <c r="A336" s="12" t="str">
        <f>HYPERLINK("https://drive.google.com/drive/folders/1MkL1gkKlT28fJHe1d_qRUln4g8uyeYoR","SB Drive/Complete jumps/Series/Starcraft")</f>
        <v>SB Drive/Complete jumps/Series/Starcraft</v>
      </c>
      <c r="B336" s="4" t="s">
        <v>32</v>
      </c>
      <c r="C336" s="4" t="s">
        <v>31</v>
      </c>
    </row>
    <row r="337">
      <c r="A337" s="12" t="str">
        <f>HYPERLINK("https://drive.google.com/drive/folders/1bPrAsvgkPsaVZIhFtLm-04yIPArEyORH","SB Drive/Complete jumps/Series/Star Trek")</f>
        <v>SB Drive/Complete jumps/Series/Star Trek</v>
      </c>
      <c r="B337" s="4" t="s">
        <v>32</v>
      </c>
      <c r="C337" s="4" t="s">
        <v>31</v>
      </c>
    </row>
    <row r="338">
      <c r="A338" s="12" t="str">
        <f>HYPERLINK("https://drive.google.com/drive/folders/1cuUu0xCP0W5e0bl1-XRW8xsfwUfBsISm","SB Drive/Complete jumps/Series/Smash Up")</f>
        <v>SB Drive/Complete jumps/Series/Smash Up</v>
      </c>
      <c r="B338" s="4" t="s">
        <v>32</v>
      </c>
      <c r="C338" s="4" t="s">
        <v>31</v>
      </c>
    </row>
    <row r="339">
      <c r="A339" s="12" t="str">
        <f>HYPERLINK("https://drive.google.com/drive/folders/1U-Ff60NRNTzo_nA9e51aHMxX_B_zhGap","SB Drive/Complete jumps/Series/Shin Megami Tensei")</f>
        <v>SB Drive/Complete jumps/Series/Shin Megami Tensei</v>
      </c>
      <c r="B339" s="4" t="s">
        <v>32</v>
      </c>
      <c r="C339" s="4" t="s">
        <v>31</v>
      </c>
    </row>
    <row r="340">
      <c r="A340" s="12" t="str">
        <f>HYPERLINK("https://drive.google.com/drive/folders/1alzWCSbMhD0OBYj5FdgDdc7Q4JpNLAWs","SB Drive/Complete jumps/Series/RWBY")</f>
        <v>SB Drive/Complete jumps/Series/RWBY</v>
      </c>
      <c r="B340" s="4" t="s">
        <v>32</v>
      </c>
      <c r="C340" s="4" t="s">
        <v>31</v>
      </c>
    </row>
    <row r="341">
      <c r="A341" s="12" t="str">
        <f>HYPERLINK("https://drive.google.com/drive/folders/1FV4RkjZbc4-TEtF6Bcq-zD77dkpPFyGS","SB Drive/Complete jumps/Series/Overlord")</f>
        <v>SB Drive/Complete jumps/Series/Overlord</v>
      </c>
      <c r="B341" s="4" t="s">
        <v>32</v>
      </c>
      <c r="C341" s="4" t="s">
        <v>31</v>
      </c>
    </row>
    <row r="342">
      <c r="A342" s="12" t="str">
        <f>HYPERLINK("https://drive.google.com/drive/folders/1Nsa5WHX-OMUHysmrLNB6-8kbpiMzDb9Z","SB Drive/Complete jumps/Series/Orion's Arm")</f>
        <v>SB Drive/Complete jumps/Series/Orion's Arm</v>
      </c>
      <c r="B342" s="4" t="s">
        <v>32</v>
      </c>
      <c r="C342" s="4" t="s">
        <v>31</v>
      </c>
    </row>
    <row r="343">
      <c r="A343" s="12" t="str">
        <f>HYPERLINK("https://drive.google.com/drive/folders/1wE53mc3Zl1Hfm923Sc35yWtYEEEzPNfy","SB Drive/Complete jumps/Series/Peter Pan")</f>
        <v>SB Drive/Complete jumps/Series/Peter Pan</v>
      </c>
      <c r="B343" s="4" t="s">
        <v>32</v>
      </c>
      <c r="C343" s="4" t="s">
        <v>31</v>
      </c>
    </row>
    <row r="344">
      <c r="A344" s="12" t="str">
        <f>HYPERLINK("https://drive.google.com/drive/folders/1y_-ZRgKAdpLsROPai1zktydFhVVy02_t","SB Drive/Complete jumps/Series/Pokémon")</f>
        <v>SB Drive/Complete jumps/Series/Pokémon</v>
      </c>
      <c r="B344" s="4" t="s">
        <v>32</v>
      </c>
      <c r="C344" s="4" t="s">
        <v>31</v>
      </c>
    </row>
    <row r="345">
      <c r="A345" s="12" t="str">
        <f>HYPERLINK("https://drive.google.com/drive/folders/1yJXVmtSWJAhiqgTN__z_eyykEw2v_G1A","SB Drive/Complete jumps/Series/Dungeons &amp; Dragons")</f>
        <v>SB Drive/Complete jumps/Series/Dungeons &amp; Dragons</v>
      </c>
      <c r="B345" s="4" t="s">
        <v>32</v>
      </c>
      <c r="C345" s="4" t="s">
        <v>31</v>
      </c>
    </row>
    <row r="346">
      <c r="A346" s="12" t="str">
        <f>HYPERLINK("https://drive.google.com/drive/folders/1ve42J7r-E4scZjXlB7sD5fvEBj9wAwSW","SB Drive/Complete jumps/Series/Dungeons &amp; Dragons/Lords of the Night")</f>
        <v>SB Drive/Complete jumps/Series/Dungeons &amp; Dragons/Lords of the Night</v>
      </c>
      <c r="B346" s="4" t="s">
        <v>32</v>
      </c>
      <c r="C346" s="4" t="s">
        <v>31</v>
      </c>
    </row>
    <row r="347">
      <c r="A347" s="12" t="str">
        <f>HYPERLINK("https://drive.google.com/drive/folders/1NnVFDKvT4QS1f7l0CVbb1JAUCfvILSDT","SB Drive/Complete jumps/Series/Disney")</f>
        <v>SB Drive/Complete jumps/Series/Disney</v>
      </c>
      <c r="B347" s="4" t="s">
        <v>32</v>
      </c>
      <c r="C347" s="4" t="s">
        <v>31</v>
      </c>
    </row>
    <row r="348">
      <c r="A348" s="12" t="str">
        <f>HYPERLINK("https://drive.google.com/drive/folders/1X8r8cWQeNyOOfhfgJrNby8axHAilQOPy","SB Drive/Complete jumps/Series/Just Cause")</f>
        <v>SB Drive/Complete jumps/Series/Just Cause</v>
      </c>
      <c r="B348" s="4" t="s">
        <v>32</v>
      </c>
      <c r="C348" s="4" t="s">
        <v>31</v>
      </c>
    </row>
    <row r="349">
      <c r="A349" s="12" t="str">
        <f>HYPERLINK("https://drive.google.com/drive/folders/1SwukwngfJno5ewcu_dRB1i5xtgLDlpdF","SB Drive/Complete jumps/Series/Imperium Galactica")</f>
        <v>SB Drive/Complete jumps/Series/Imperium Galactica</v>
      </c>
      <c r="B349" s="4" t="s">
        <v>32</v>
      </c>
      <c r="C349" s="4" t="s">
        <v>31</v>
      </c>
    </row>
    <row r="350">
      <c r="A350" s="12" t="str">
        <f>HYPERLINK("https://drive.google.com/drive/folders/1mBx3E961Rb3hg1ozK-J61dR8w8RzOHSI","SB Drive/Complete jumps/Series/Highlander")</f>
        <v>SB Drive/Complete jumps/Series/Highlander</v>
      </c>
      <c r="B350" s="4" t="s">
        <v>32</v>
      </c>
      <c r="C350" s="4" t="s">
        <v>31</v>
      </c>
    </row>
    <row r="351">
      <c r="A351" s="12" t="str">
        <f>HYPERLINK("https://drive.google.com/drive/folders/1svKGtMCOnYtNJnQcPNUNn2-3pqefBiMx","SB Drive/Complete jumps/Series/Final Fantasy")</f>
        <v>SB Drive/Complete jumps/Series/Final Fantasy</v>
      </c>
      <c r="B351" s="4" t="s">
        <v>32</v>
      </c>
      <c r="C351" s="4" t="s">
        <v>31</v>
      </c>
    </row>
    <row r="352">
      <c r="A352" s="12" t="str">
        <f>HYPERLINK("https://drive.google.com/drive/folders/1n-L3dUCQnyfU-hooOG5-j0eJxPCBEeyc","SB Drive/Complete jumps/Series/Fallout")</f>
        <v>SB Drive/Complete jumps/Series/Fallout</v>
      </c>
      <c r="B352" s="4" t="s">
        <v>32</v>
      </c>
      <c r="C352" s="4" t="s">
        <v>31</v>
      </c>
    </row>
    <row r="353">
      <c r="A353" s="12" t="str">
        <f>HYPERLINK("https://drive.google.com/drive/folders/19PdtvljUlIurAVL6FWvh8RBm2AooNCra","SB Drive/Complete jumps/Series/Dune")</f>
        <v>SB Drive/Complete jumps/Series/Dune</v>
      </c>
      <c r="B353" s="4" t="s">
        <v>32</v>
      </c>
      <c r="C353" s="4" t="s">
        <v>31</v>
      </c>
    </row>
    <row r="354">
      <c r="A354" s="12" t="str">
        <f>HYPERLINK("https://drive.google.com/drive/folders/1BrFvpr4IkhNkUfZkn3aMCsRQn8prO-gr","SB Drive/Complete jumps/Series/Destiny")</f>
        <v>SB Drive/Complete jumps/Series/Destiny</v>
      </c>
      <c r="B354" s="4" t="s">
        <v>32</v>
      </c>
      <c r="C354" s="4" t="s">
        <v>31</v>
      </c>
    </row>
    <row r="355">
      <c r="A355" s="12" t="str">
        <f>HYPERLINK("https://drive.google.com/drive/folders/18ns9g4ZdOG58npRM52jml0c5kbSJMi8C","SB Drive/Complete jumps/Series/Desolate Era")</f>
        <v>SB Drive/Complete jumps/Series/Desolate Era</v>
      </c>
      <c r="B355" s="4" t="s">
        <v>32</v>
      </c>
      <c r="C355" s="4" t="s">
        <v>31</v>
      </c>
    </row>
    <row r="356">
      <c r="A356" s="12" t="str">
        <f>HYPERLINK("https://drive.google.com/drive/folders/1hAOJTZk3KA83KzpJDZbvIOqBnwm_7k0N","SB Drive/Complete jumps/Series/Star Wars")</f>
        <v>SB Drive/Complete jumps/Series/Star Wars</v>
      </c>
      <c r="B356" s="4" t="s">
        <v>32</v>
      </c>
      <c r="C356" s="4" t="s">
        <v>31</v>
      </c>
    </row>
    <row r="357">
      <c r="A357" s="12" t="str">
        <f>HYPERLINK("https://drive.google.com/drive/folders/1mMGb92qtsyxvjk0CdIcLq0jvWmyhNBdR","SB Drive/Complete jumps/Series/Mythology")</f>
        <v>SB Drive/Complete jumps/Series/Mythology</v>
      </c>
      <c r="B357" s="4" t="s">
        <v>32</v>
      </c>
      <c r="C357" s="4" t="s">
        <v>31</v>
      </c>
    </row>
    <row r="358">
      <c r="A358" s="12" t="str">
        <f>HYPERLINK("https://drive.google.com/drive/folders/14WrNSCjkhXm1ewwGUk7Raar8T7Jltfh2","SB Drive/Complete jumps/Series/Super Mario")</f>
        <v>SB Drive/Complete jumps/Series/Super Mario</v>
      </c>
      <c r="B358" s="4" t="s">
        <v>32</v>
      </c>
      <c r="C358" s="4" t="s">
        <v>31</v>
      </c>
    </row>
    <row r="359">
      <c r="A359" s="12" t="str">
        <f>HYPERLINK("https://drive.google.com/drive/folders/1tMEuFR-cKu_nNRtyxawE-NdXFu7TF5Zd","SB Drive/Complete jumps/Series/Marvel Comics")</f>
        <v>SB Drive/Complete jumps/Series/Marvel Comics</v>
      </c>
      <c r="B359" s="4" t="s">
        <v>32</v>
      </c>
      <c r="C359" s="4" t="s">
        <v>31</v>
      </c>
    </row>
    <row r="360">
      <c r="A360" s="12" t="str">
        <f>HYPERLINK("https://drive.google.com/drive/folders/1Q5t1uVAWfAfh1qHleNjh0rVzfnUmQCrC","SB Drive/Complete jumps/Series/DC Comics")</f>
        <v>SB Drive/Complete jumps/Series/DC Comics</v>
      </c>
      <c r="B360" s="4" t="s">
        <v>32</v>
      </c>
      <c r="C360" s="4" t="s">
        <v>31</v>
      </c>
    </row>
    <row r="361">
      <c r="A361" s="12" t="str">
        <f>HYPERLINK("https://drive.google.com/drive/folders/1sVht-eS4iyzHSzXCl0qH3e86HAycbeIB","SB Drive/Complete jumps/Series/Naruto")</f>
        <v>SB Drive/Complete jumps/Series/Naruto</v>
      </c>
      <c r="B361" s="4" t="s">
        <v>32</v>
      </c>
      <c r="C361" s="4" t="s">
        <v>31</v>
      </c>
    </row>
    <row r="362">
      <c r="A362" s="12" t="str">
        <f>HYPERLINK("https://drive.google.com/drive/folders/1--DV3vWkiPQuuEQj7ghGj9FOmVpzY-ff","SB Drive/Complete jumps/Series/Command &amp; Conquer")</f>
        <v>SB Drive/Complete jumps/Series/Command &amp; Conquer</v>
      </c>
      <c r="B362" s="4" t="s">
        <v>32</v>
      </c>
      <c r="C362" s="4" t="s">
        <v>31</v>
      </c>
    </row>
    <row r="363">
      <c r="A363" s="12" t="str">
        <f>HYPERLINK("https://drive.google.com/drive/folders/1M_VaZgJrPbxXZ8_uAS-J4fBS8Y_7r-XJ","SB Drive/Complete jumps/Series/Bionicle")</f>
        <v>SB Drive/Complete jumps/Series/Bionicle</v>
      </c>
      <c r="B363" s="4" t="s">
        <v>32</v>
      </c>
      <c r="C363" s="4" t="s">
        <v>31</v>
      </c>
    </row>
    <row r="364">
      <c r="A364" s="12" t="str">
        <f>HYPERLINK("https://drive.google.com/drive/folders/1yUL0EsNk79JMppVcmddxRr60VbycCb7H","SB Drive/Complete jumps/Series/Avatar")</f>
        <v>SB Drive/Complete jumps/Series/Avatar</v>
      </c>
      <c r="B364" s="4" t="s">
        <v>32</v>
      </c>
      <c r="C364" s="4" t="s">
        <v>31</v>
      </c>
    </row>
    <row r="365">
      <c r="A365" s="12" t="str">
        <f>HYPERLINK("https://drive.google.com/drive/folders/1-1-fPGcM_RLu5rI07xwIPfohr6IkGEJP","SB Drive/Complete jumps/Series/Crossover Fanfics")</f>
        <v>SB Drive/Complete jumps/Series/Crossover Fanfics</v>
      </c>
      <c r="B365" s="4" t="s">
        <v>32</v>
      </c>
      <c r="C365" s="4" t="s">
        <v>31</v>
      </c>
    </row>
    <row r="366">
      <c r="A366" s="12" t="str">
        <f>HYPERLINK("https://drive.google.com/drive/folders/1vcFnzZH0gghO8GCsCtjKw-hNWsM1VroQ","SB Drive/Complete jumps/Series/Worm")</f>
        <v>SB Drive/Complete jumps/Series/Worm</v>
      </c>
      <c r="B366" s="4" t="s">
        <v>32</v>
      </c>
      <c r="C366" s="4" t="s">
        <v>31</v>
      </c>
    </row>
    <row r="367">
      <c r="A367" s="12" t="str">
        <f>HYPERLINK("https://drive.google.com/drive/folders/1sfWieJWzw9aA1WRTQr0LgnIrcjyZrrDm","SB Drive/Complete jumps/Series/Harry Potter")</f>
        <v>SB Drive/Complete jumps/Series/Harry Potter</v>
      </c>
      <c r="B367" s="4" t="s">
        <v>32</v>
      </c>
      <c r="C367" s="4" t="s">
        <v>31</v>
      </c>
    </row>
    <row r="368">
      <c r="A368" s="12" t="str">
        <f>HYPERLINK("https://drive.google.com/drive/folders/1DDS4uFlUZ-S-i2NuDRXuqoD4W3N8NyaF","SB Drive/Complete jumps/Series/Warhammer Fantasy")</f>
        <v>SB Drive/Complete jumps/Series/Warhammer Fantasy</v>
      </c>
      <c r="B368" s="4" t="s">
        <v>32</v>
      </c>
      <c r="C368" s="4" t="s">
        <v>31</v>
      </c>
    </row>
    <row r="369">
      <c r="A369" s="12" t="str">
        <f>HYPERLINK("https://drive.google.com/drive/folders/1WNxyl9qDhcXYCgCQZoaBCTH1KiR7ecuJ","SB Drive/Complete jumps/Series/Warhammer 40.000")</f>
        <v>SB Drive/Complete jumps/Series/Warhammer 40.000</v>
      </c>
      <c r="B369" s="4" t="s">
        <v>32</v>
      </c>
      <c r="C369" s="4" t="s">
        <v>31</v>
      </c>
    </row>
    <row r="370">
      <c r="A370" s="12" t="str">
        <f>HYPERLINK("https://drive.google.com/drive/folders/1tuPUaTUqXAJ_7KFuAubmv3llHYzDPqE7","SB Drive/Complete jumps/Series/Nexus")</f>
        <v>SB Drive/Complete jumps/Series/Nexus</v>
      </c>
      <c r="B370" s="4" t="s">
        <v>32</v>
      </c>
      <c r="C370" s="4" t="s">
        <v>31</v>
      </c>
    </row>
    <row r="371">
      <c r="A371" s="12" t="str">
        <f>HYPERLINK("https://drive.google.com/drive/folders/1Lw85i7BwPNvaUICodsJE10fiA96IhKm0","SB Drive/Complete jumps/Series/World of Darkness")</f>
        <v>SB Drive/Complete jumps/Series/World of Darkness</v>
      </c>
      <c r="B371" s="4" t="s">
        <v>32</v>
      </c>
      <c r="C371" s="4" t="s">
        <v>31</v>
      </c>
    </row>
    <row r="372">
      <c r="A372" s="12" t="str">
        <f>HYPERLINK("https://drive.google.com/drive/folders/0By8NY-NO4-N5WlEyOUowSnpnRTA?resourcekey=0-SXE4_RYHzcndk7jGVdQfKQ","SB Drive/Complete jumps/Series/The Fountain")</f>
        <v>SB Drive/Complete jumps/Series/The Fountain</v>
      </c>
      <c r="B372" s="4" t="s">
        <v>32</v>
      </c>
      <c r="C372" s="4" t="s">
        <v>31</v>
      </c>
    </row>
    <row r="373">
      <c r="A373" s="12" t="str">
        <f>HYPERLINK("https://drive.google.com/drive/folders/1UQqll5Kx9DuyBHYadjXUyGy6QkQogn5G","SB Drive/Complete jumps/Gauntlets")</f>
        <v>SB Drive/Complete jumps/Gauntlets</v>
      </c>
      <c r="B373" s="4" t="s">
        <v>34</v>
      </c>
      <c r="C373" s="4" t="s">
        <v>31</v>
      </c>
    </row>
    <row r="374">
      <c r="A374" s="12" t="str">
        <f>HYPERLINK("https://drive.google.com/drive/folders/1ziDB6R97-G3EbzZCUw-K5w0u_256IRzn","SB Drive/Complete jumps/Supplements")</f>
        <v>SB Drive/Complete jumps/Supplements</v>
      </c>
      <c r="B374" s="4" t="s">
        <v>33</v>
      </c>
      <c r="C374" s="4" t="s">
        <v>31</v>
      </c>
    </row>
    <row r="375">
      <c r="A375" s="12" t="str">
        <f>HYPERLINK("https://drive.google.com/drive/folders/0By8NY-NO4-N5SXA3aDZrb1lRMVE?resourcekey=0-QdJfl8TjoOK-_zkN29y8YA","SB Drive/Not Complete Jumps")</f>
        <v>SB Drive/Not Complete Jumps</v>
      </c>
      <c r="B375" s="4" t="s">
        <v>32</v>
      </c>
      <c r="C375" s="4" t="s">
        <v>31</v>
      </c>
    </row>
    <row r="376">
      <c r="A376" s="12" t="str">
        <f>HYPERLINK("https://drive.google.com/drive/folders/0By8NY-NO4-N5VW4yRTRQVUQtQnM?resourcekey=0-PWsfzs80ECdwcGqWJEA5MA","SB Drive/Not Complete Jumps/A Practical Guide to Evil")</f>
        <v>SB Drive/Not Complete Jumps/A Practical Guide to Evil</v>
      </c>
      <c r="B376" s="4" t="s">
        <v>32</v>
      </c>
      <c r="C376" s="4" t="s">
        <v>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2" t="str">
        <f>HYPERLINK("https://drive.google.com/file/d/1w6RSNBZewWmMbxqB3F1fE_FaH9wlGuqA/view?usp=drivesdk","Pathfinder Wrath of the Righteous.pdf")</f>
        <v>Pathfinder Wrath of the Righteous.pdf</v>
      </c>
      <c r="B1" s="12" t="str">
        <f t="shared" ref="B1:B7" si="1">HYPERLINK("https://drive.google.com/drive/folders/1q1Jb_9a7K4nUpB6mxCBt8MaxAYRzrfQs","DriveAnon's 4chan Drive/3. UPLOAD NEW JUMPS HERE TO BE SORTED (PUBLIC ACCESS)")</f>
        <v>DriveAnon's 4chan Drive/3. UPLOAD NEW JUMPS HERE TO BE SORTED (PUBLIC ACCESS)</v>
      </c>
    </row>
    <row r="2">
      <c r="A2" s="12" t="str">
        <f>HYPERLINK("https://drive.google.com/file/d/1f2XdThwJn-lY5l4ZnxOCmhI2hJdSnNRi/view?usp=drivesdk","Digimon Adventure (2020) v1.02.pdf")</f>
        <v>Digimon Adventure (2020) v1.02.pdf</v>
      </c>
      <c r="B2" s="12" t="str">
        <f t="shared" si="1"/>
        <v>DriveAnon's 4chan Drive/3. UPLOAD NEW JUMPS HERE TO BE SORTED (PUBLIC ACCESS)</v>
      </c>
    </row>
    <row r="3">
      <c r="A3" s="12" t="str">
        <f>HYPERLINK("https://drive.google.com/file/d/1cOWE1wMGLFnNpLt9VSsLPBT8EYPLWIgG/view?usp=drivesdk","Band of Brothers Jumpchain Gauntlet.pdf")</f>
        <v>Band of Brothers Jumpchain Gauntlet.pdf</v>
      </c>
      <c r="B3" s="12" t="str">
        <f t="shared" si="1"/>
        <v>DriveAnon's 4chan Drive/3. UPLOAD NEW JUMPS HERE TO BE SORTED (PUBLIC ACCESS)</v>
      </c>
    </row>
    <row r="4">
      <c r="A4" s="12" t="str">
        <f>HYPERLINK("https://drive.google.com/file/d/1VU-MKPMgZxMvddl4fe69J_QdH4zT8QX7/view?usp=drivesdk","Werewolf the Forsaken.pdf")</f>
        <v>Werewolf the Forsaken.pdf</v>
      </c>
      <c r="B4" s="12" t="str">
        <f t="shared" si="1"/>
        <v>DriveAnon's 4chan Drive/3. UPLOAD NEW JUMPS HERE TO BE SORTED (PUBLIC ACCESS)</v>
      </c>
    </row>
    <row r="5">
      <c r="A5" s="12" t="str">
        <f>HYPERLINK("https://drive.google.com/file/d/13mItqyJG8GK2Ich9oc0B_CEOlmJOlqaW/view?usp=drivesdk","Elden Ring jumpchain V 1.35.pdf")</f>
        <v>Elden Ring jumpchain V 1.35.pdf</v>
      </c>
      <c r="B5" s="12" t="str">
        <f t="shared" si="1"/>
        <v>DriveAnon's 4chan Drive/3. UPLOAD NEW JUMPS HERE TO BE SORTED (PUBLIC ACCESS)</v>
      </c>
    </row>
    <row r="6">
      <c r="A6" s="12" t="str">
        <f>HYPERLINK("https://drive.google.com/file/d/1X-3BcOeiGvNq3dTWPnTgWdEIT2T3n22I/view?usp=drivesdk","Excitebike Gauntlet.png")</f>
        <v>Excitebike Gauntlet.png</v>
      </c>
      <c r="B6" s="12" t="str">
        <f t="shared" si="1"/>
        <v>DriveAnon's 4chan Drive/3. UPLOAD NEW JUMPS HERE TO BE SORTED (PUBLIC ACCESS)</v>
      </c>
    </row>
    <row r="7">
      <c r="A7" s="12" t="str">
        <f>HYPERLINK("https://drive.google.com/file/d/1sSGf33ydU7kdavF-d-Se-1kiBFEYOfBo/view?usp=drivesdk","DragonQuest III Jumpchain 1.3.pdf")</f>
        <v>DragonQuest III Jumpchain 1.3.pdf</v>
      </c>
      <c r="B7" s="12" t="str">
        <f t="shared" si="1"/>
        <v>DriveAnon's 4chan Drive/3. UPLOAD NEW JUMPS HERE TO BE SORTED (PUBLIC ACCESS)</v>
      </c>
    </row>
    <row r="8">
      <c r="A8" s="12" t="str">
        <f>HYPERLINK("https://drive.google.com/file/d/1fJgkATgEEpY30mA38m3DNd6RLEdkQ5Do/view?usp=drivesdk","Princess Sacrifice v2.0.pdf")</f>
        <v>Princess Sacrifice v2.0.pdf</v>
      </c>
      <c r="B8" s="12" t="str">
        <f t="shared" ref="B8:B30" si="2">HYPERLINK("https://drive.google.com/drive/folders/0By8NY-NO4-N5WVdhY3pZR1NCYXM?resourcekey=0-hiJXImqIu4nOvqS82ImFng","QQ Drive/Uploads")</f>
        <v>QQ Drive/Uploads</v>
      </c>
    </row>
    <row r="9">
      <c r="A9" s="12" t="str">
        <f>HYPERLINK("https://drive.google.com/file/d/1z5L2mOrH06PmxOYW55Ycrbzt5W5YBxfo/view?usp=drivesdk","Ikusa Otome Valkyrie v1.5.pdf")</f>
        <v>Ikusa Otome Valkyrie v1.5.pdf</v>
      </c>
      <c r="B9" s="12" t="str">
        <f t="shared" si="2"/>
        <v>QQ Drive/Uploads</v>
      </c>
    </row>
    <row r="10">
      <c r="A10" s="12" t="str">
        <f>HYPERLINK("https://drive.google.com/file/d/1XagJaouWp3f1e28F2NPYbjgzvlg9Fjjv/view?usp=drivesdk","Huniepop Jump v1.1.pdf")</f>
        <v>Huniepop Jump v1.1.pdf</v>
      </c>
      <c r="B10" s="12" t="str">
        <f t="shared" si="2"/>
        <v>QQ Drive/Uploads</v>
      </c>
    </row>
    <row r="11">
      <c r="A11" s="12" t="str">
        <f>HYPERLINK("https://drive.google.com/file/d/1Uqwfpup4zOCxgk89fLgX76z8y-YtWLiy/view?usp=drivesdk","Toshi Densetsu Bitch v1.0.pdf")</f>
        <v>Toshi Densetsu Bitch v1.0.pdf</v>
      </c>
      <c r="B11" s="12" t="str">
        <f t="shared" si="2"/>
        <v>QQ Drive/Uploads</v>
      </c>
    </row>
    <row r="12">
      <c r="A12" s="12" t="str">
        <f>HYPERLINK("https://drive.google.com/file/d/1_WAmZ7HPeeRN3cV7RkxGJRKO_3Cuv51D/view?usp=drivesdk","Generic Soul Master Jump.pdf")</f>
        <v>Generic Soul Master Jump.pdf</v>
      </c>
      <c r="B12" s="12" t="str">
        <f t="shared" si="2"/>
        <v>QQ Drive/Uploads</v>
      </c>
    </row>
    <row r="13">
      <c r="A13" s="12" t="str">
        <f>HYPERLINK("https://drive.google.com/file/d/1yG4ABov039YWRFDlsFBTcoiNiSknZg77/view?usp=drivesdk","Tifa Lockhart - Agent of Avalanche Jumpchain v1.0.pdf")</f>
        <v>Tifa Lockhart - Agent of Avalanche Jumpchain v1.0.pdf</v>
      </c>
      <c r="B13" s="12" t="str">
        <f t="shared" si="2"/>
        <v>QQ Drive/Uploads</v>
      </c>
    </row>
    <row r="14">
      <c r="A14" s="12" t="str">
        <f>HYPERLINK("https://drive.google.com/file/d/1DWPrA_bL_o8iQ8A5f0KShjvJ_Pz3DQX-/view?usp=drivesdk","The World of Lolis Jumpchain.pdf")</f>
        <v>The World of Lolis Jumpchain.pdf</v>
      </c>
      <c r="B14" s="12" t="str">
        <f t="shared" si="2"/>
        <v>QQ Drive/Uploads</v>
      </c>
    </row>
    <row r="15">
      <c r="A15" s="12" t="str">
        <f>HYPERLINK("https://drive.google.com/file/d/1kYV0bFOuD_KqX6TluoJAI5Xz7-DCh29f/view?usp=drivesdk","Ultra body mod.pdf")</f>
        <v>Ultra body mod.pdf</v>
      </c>
      <c r="B15" s="12" t="str">
        <f t="shared" si="2"/>
        <v>QQ Drive/Uploads</v>
      </c>
    </row>
    <row r="16">
      <c r="A16" s="12" t="str">
        <f>HYPERLINK("https://drive.google.com/file/d/1a6FOwvsp45LwYDJDZ_jJlcibtlm9CtpI/view?usp=drivesdk","Monster Girl Dreams Jumpchain 1.2.pdf")</f>
        <v>Monster Girl Dreams Jumpchain 1.2.pdf</v>
      </c>
      <c r="B16" s="12" t="str">
        <f t="shared" si="2"/>
        <v>QQ Drive/Uploads</v>
      </c>
    </row>
    <row r="17">
      <c r="A17" s="12" t="str">
        <f>HYPERLINK("https://drive.google.com/file/d/14-ExpYPUYPkB1IkZEURWSSQnluKyLvwV/view?usp=drivesdk","Feeder Fantasy Jumpchain 1.5.pdf")</f>
        <v>Feeder Fantasy Jumpchain 1.5.pdf</v>
      </c>
      <c r="B17" s="12" t="str">
        <f t="shared" si="2"/>
        <v>QQ Drive/Uploads</v>
      </c>
    </row>
    <row r="18">
      <c r="A18" s="12" t="str">
        <f>HYPERLINK("https://drive.google.com/file/d/1m-W5jaax2P2FYiofw1mju9HDnsMI8zQ9/view?usp=drivesdk","Generic QQ.pdf")</f>
        <v>Generic QQ.pdf</v>
      </c>
      <c r="B18" s="12" t="str">
        <f t="shared" si="2"/>
        <v>QQ Drive/Uploads</v>
      </c>
    </row>
    <row r="19">
      <c r="A19" s="12" t="str">
        <f>HYPERLINK("https://drive.google.com/file/d/1V3xEXxDYGSshtoK29XltQODxBszTZzmw/view?usp=drivesdk","Lewd Pokemon Jump v2.0.pdf")</f>
        <v>Lewd Pokemon Jump v2.0.pdf</v>
      </c>
      <c r="B19" s="12" t="str">
        <f t="shared" si="2"/>
        <v>QQ Drive/Uploads</v>
      </c>
    </row>
    <row r="20">
      <c r="A20" s="12" t="str">
        <f>HYPERLINK("https://drive.google.com/file/d/1D41gAP0vVIy8afNRl5gTKxmvWBNt-C4G/view?usp=drivesdk","Nyakumi Jumpchain v1.1.pdf")</f>
        <v>Nyakumi Jumpchain v1.1.pdf</v>
      </c>
      <c r="B20" s="12" t="str">
        <f t="shared" si="2"/>
        <v>QQ Drive/Uploads</v>
      </c>
    </row>
    <row r="21">
      <c r="A21" s="12" t="str">
        <f>HYPERLINK("https://drive.google.com/file/d/1l5_gXYdnmqirdcKcjXVdsUTu96YURFKn/view?usp=drivesdk","Drainage City jump 1.0.pdf")</f>
        <v>Drainage City jump 1.0.pdf</v>
      </c>
      <c r="B21" s="12" t="str">
        <f t="shared" si="2"/>
        <v>QQ Drive/Uploads</v>
      </c>
    </row>
    <row r="22">
      <c r="A22" s="12" t="str">
        <f>HYPERLINK("https://drive.google.com/file/d/10NIdD2xPUb-hUHN-5HW4MzYPIRM-ZXDr/view?usp=drivesdk","MGE - Bonus Scenario Supplement.pdf")</f>
        <v>MGE - Bonus Scenario Supplement.pdf</v>
      </c>
      <c r="B22" s="12" t="str">
        <f t="shared" si="2"/>
        <v>QQ Drive/Uploads</v>
      </c>
    </row>
    <row r="23">
      <c r="A23" s="12" t="str">
        <f>HYPERLINK("https://drive.google.com/file/d/1PTdZz-rr5KhCGbtbW6tx7JbcTVGpsdLQ/view?usp=drivesdk","Monster Girl Encyclopedia.pdf")</f>
        <v>Monster Girl Encyclopedia.pdf</v>
      </c>
      <c r="B23" s="12" t="str">
        <f t="shared" si="2"/>
        <v>QQ Drive/Uploads</v>
      </c>
    </row>
    <row r="24">
      <c r="A24" s="12" t="str">
        <f>HYPERLINK("https://drive.google.com/file/d/1PdKVhSyWfkwmTNb1YsTlZ_Yz7IccJ_nM/view?usp=drivesdk","Lexx.pdf")</f>
        <v>Lexx.pdf</v>
      </c>
      <c r="B24" s="12" t="str">
        <f t="shared" si="2"/>
        <v>QQ Drive/Uploads</v>
      </c>
    </row>
    <row r="25">
      <c r="A25" s="12" t="str">
        <f>HYPERLINK("https://drive.google.com/file/d/1tHmY_4t-0Hs-Q1xr7t9fvXAGh8U0wYVO/view?usp=drivesdk","Lewd Digimon Jump.pdf")</f>
        <v>Lewd Digimon Jump.pdf</v>
      </c>
      <c r="B25" s="12" t="str">
        <f t="shared" si="2"/>
        <v>QQ Drive/Uploads</v>
      </c>
    </row>
    <row r="26">
      <c r="A26" s="12" t="str">
        <f>HYPERLINK("https://drive.google.com/file/d/1WI-bheSIoSoMGoCCasNlwrtJrTpYvCgz/view?usp=drivesdk","Lewd Shipgirls.pdf")</f>
        <v>Lewd Shipgirls.pdf</v>
      </c>
      <c r="B26" s="12" t="str">
        <f t="shared" si="2"/>
        <v>QQ Drive/Uploads</v>
      </c>
    </row>
    <row r="27">
      <c r="A27" s="12" t="str">
        <f>HYPERLINK("https://drive.google.com/file/d/16VdJsVZz7jYgLY2w9XBJQZFYXZj1m_y8/view?usp=drivesdk","Zakuro Shoukougun Jumpchain v2.01.pdf")</f>
        <v>Zakuro Shoukougun Jumpchain v2.01.pdf</v>
      </c>
      <c r="B27" s="12" t="str">
        <f t="shared" si="2"/>
        <v>QQ Drive/Uploads</v>
      </c>
    </row>
    <row r="28">
      <c r="A28" s="12" t="str">
        <f>HYPERLINK("https://drive.google.com/file/d/1yyFQZ6-o3McNBhkD3oRyzEj4exaf3i_0/view?usp=drivesdk","Creature Reaction Inside The Ship! Jump.pdf")</f>
        <v>Creature Reaction Inside The Ship! Jump.pdf</v>
      </c>
      <c r="B28" s="12" t="str">
        <f t="shared" si="2"/>
        <v>QQ Drive/Uploads</v>
      </c>
    </row>
    <row r="29">
      <c r="A29" s="12" t="str">
        <f>HYPERLINK("https://drive.google.com/file/d/1zEYIRfd3an9IJddpElEZheGg4WfDc1eu/view?usp=drivesdk","HH Jumpchain CYOA 1.1 (Black).pdf")</f>
        <v>HH Jumpchain CYOA 1.1 (Black).pdf</v>
      </c>
      <c r="B29" s="12" t="str">
        <f t="shared" si="2"/>
        <v>QQ Drive/Uploads</v>
      </c>
    </row>
    <row r="30">
      <c r="A30" s="12" t="str">
        <f>HYPERLINK("https://drive.google.com/file/d/1WNdmORwL9wAwYUl9ESEVfNMk-063sEV6/view?usp=drivesdk","Azur Lane Jumpchain.pdf")</f>
        <v>Azur Lane Jumpchain.pdf</v>
      </c>
      <c r="B30" s="12" t="str">
        <f t="shared" si="2"/>
        <v>QQ Drive/Uploads</v>
      </c>
    </row>
    <row r="31">
      <c r="A31" s="12" t="str">
        <f>HYPERLINK("https://drive.google.com/file/d/1G5yWQ9LdKRjRBr1HJ8l3Lk8GZpynNQcr/view?usp=drivesdk","Fellatrix Jumpchain v0.5 [Incomplete].pdf")</f>
        <v>Fellatrix Jumpchain v0.5 [Incomplete].pdf</v>
      </c>
      <c r="B31" s="12" t="str">
        <f>HYPERLINK("https://drive.google.com/drive/folders/1RjsLVj8y4m4A7MWsC5rpqHiAHeMsm87n","QQ Drive/Uploads/WIP")</f>
        <v>QQ Drive/Uploads/WIP</v>
      </c>
    </row>
    <row r="32">
      <c r="A32" s="12" t="str">
        <f>HYPERLINK("https://drive.google.com/file/d/13J5j530FFUeo4-iHj5zE4_wAALcLjReQ/view?usp=drivesdk","The Outer Worlds Jump (Version 1.05).docx.pdf")</f>
        <v>The Outer Worlds Jump (Version 1.05).docx.pdf</v>
      </c>
      <c r="B32" s="12" t="str">
        <f t="shared" ref="B32:B35" si="3">HYPERLINK("https://drive.google.com/drive/folders/12PvfnrobDs0XE9acpd1zTDHwrW3IVxFa","Reddit Jumpchain Drive/Uploads")</f>
        <v>Reddit Jumpchain Drive/Uploads</v>
      </c>
    </row>
    <row r="33">
      <c r="A33" s="12" t="str">
        <f>HYPERLINK("https://drive.google.com/file/d/1EqUFosba4LvKeW9MCik4UBggxGfRPIVK/view?usp=drivesdk","Generic WWII throwback - 0.9.pdf")</f>
        <v>Generic WWII throwback - 0.9.pdf</v>
      </c>
      <c r="B33" s="12" t="str">
        <f t="shared" si="3"/>
        <v>Reddit Jumpchain Drive/Uploads</v>
      </c>
    </row>
    <row r="34">
      <c r="A34" s="12" t="str">
        <f>HYPERLINK("https://drive.google.com/file/d/12dh8IueSLepZMjgiQQD7-i3-rKby6Kld/view?usp=drivesdk","Heavy Object JumpChain 2.0.pdf")</f>
        <v>Heavy Object JumpChain 2.0.pdf</v>
      </c>
      <c r="B34" s="12" t="str">
        <f t="shared" si="3"/>
        <v>Reddit Jumpchain Drive/Uploads</v>
      </c>
    </row>
    <row r="35">
      <c r="A35" s="12" t="str">
        <f>HYPERLINK("https://drive.google.com/file/d/1_SPvjmcQphffUxVSol2SIG6DgAsCg0TJ/view?usp=drivesdk","Chronicles of Ancient Darkness JumpChain.pdf")</f>
        <v>Chronicles of Ancient Darkness JumpChain.pdf</v>
      </c>
      <c r="B35" s="12" t="str">
        <f t="shared" si="3"/>
        <v>Reddit Jumpchain Drive/Uploads</v>
      </c>
    </row>
    <row r="36">
      <c r="A36" s="12" t="str">
        <f>HYPERLINK("https://drive.google.com/file/d/1ZP_3Bf22g6OeVfYzMyVf_SJo_4waus4g/view?usp=drivesdk","This Is How You Lose the Time War Jumpchain.pdf")</f>
        <v>This Is How You Lose the Time War Jumpchain.pdf</v>
      </c>
      <c r="B36" s="12" t="str">
        <f t="shared" ref="B36:B60" si="4">HYPERLINK("https://drive.google.com/drive/folders/1DWEdMDoH0y81iz-EbcyujS-QrvnWXCGh","SB Drive/Uploads For New Jumps")</f>
        <v>SB Drive/Uploads For New Jumps</v>
      </c>
    </row>
    <row r="37">
      <c r="A37" s="12" t="str">
        <f>HYPERLINK("https://drive.google.com/file/d/1HAMq3AggOuHhPoIa5HOVig6N2aQKfhA9/view?usp=drivesdk","Chronicles of Ancient Darkness JumpChain.pdf")</f>
        <v>Chronicles of Ancient Darkness JumpChain.pdf</v>
      </c>
      <c r="B37" s="12" t="str">
        <f t="shared" si="4"/>
        <v>SB Drive/Uploads For New Jumps</v>
      </c>
    </row>
    <row r="38">
      <c r="A38" s="12" t="str">
        <f>HYPERLINK("https://drive.google.com/file/d/1t5VZj1qVy5I578OUV3PwgzyNe41vuWep/view?usp=drivesdk","Cyberpunk 2077 Jumpchain v1.0.pdf")</f>
        <v>Cyberpunk 2077 Jumpchain v1.0.pdf</v>
      </c>
      <c r="B38" s="12" t="str">
        <f t="shared" si="4"/>
        <v>SB Drive/Uploads For New Jumps</v>
      </c>
    </row>
    <row r="39">
      <c r="A39" s="12" t="str">
        <f>HYPERLINK("https://drive.google.com/file/d/1vaxeFUDTOb2cxfnfqVMEU7waaHpC-38k/view?usp=drivesdk","Mancer Series Jumpdoc.pdf")</f>
        <v>Mancer Series Jumpdoc.pdf</v>
      </c>
      <c r="B39" s="12" t="str">
        <f t="shared" si="4"/>
        <v>SB Drive/Uploads For New Jumps</v>
      </c>
    </row>
    <row r="40">
      <c r="A40" s="12" t="str">
        <f>HYPERLINK("https://drive.google.com/file/d/177bpLSAc4FYT9wRLZm1oy8gW4h0is6a5/view?usp=drivesdk","Evil Genius 2_ World Domination.pdf")</f>
        <v>Evil Genius 2_ World Domination.pdf</v>
      </c>
      <c r="B40" s="12" t="str">
        <f t="shared" si="4"/>
        <v>SB Drive/Uploads For New Jumps</v>
      </c>
    </row>
    <row r="41">
      <c r="A41" s="12" t="str">
        <f>HYPERLINK("https://drive.google.com/file/d/1Ye1Bh6h5qHhCOTBGEFp6hGuLOuj4Zs9u/view?usp=drivesdk","Bad Guys (2022) Jumpchain v1.1.pdf")</f>
        <v>Bad Guys (2022) Jumpchain v1.1.pdf</v>
      </c>
      <c r="B41" s="12" t="str">
        <f t="shared" si="4"/>
        <v>SB Drive/Uploads For New Jumps</v>
      </c>
    </row>
    <row r="42">
      <c r="A42" s="12" t="str">
        <f>HYPERLINK("https://drive.google.com/file/d/1UBYtEPScLiLNycjbO_PpJjjQJqxHAoZ6/view?usp=drivesdk","Generic Ferret Jump.pdf")</f>
        <v>Generic Ferret Jump.pdf</v>
      </c>
      <c r="B42" s="12" t="str">
        <f t="shared" si="4"/>
        <v>SB Drive/Uploads For New Jumps</v>
      </c>
    </row>
    <row r="43">
      <c r="A43" s="12" t="str">
        <f>HYPERLINK("https://drive.google.com/file/d/1d0rTX6127vb3Mq2wFeTn7A7rwCG-CZiM/view?usp=drivesdk","Kirby 64: The Crystal Shards.pdf")</f>
        <v>Kirby 64: The Crystal Shards.pdf</v>
      </c>
      <c r="B43" s="12" t="str">
        <f t="shared" si="4"/>
        <v>SB Drive/Uploads For New Jumps</v>
      </c>
    </row>
    <row r="44">
      <c r="A44" s="12" t="str">
        <f>HYPERLINK("https://drive.google.com/file/d/1ZItAzz95mXGi4PUFmMaGk80HlkNDNFfc/view?usp=drivesdk","Witchlands Books.pdf")</f>
        <v>Witchlands Books.pdf</v>
      </c>
      <c r="B44" s="12" t="str">
        <f t="shared" si="4"/>
        <v>SB Drive/Uploads For New Jumps</v>
      </c>
    </row>
    <row r="45">
      <c r="A45" s="12" t="str">
        <f>HYPERLINK("https://drive.google.com/file/d/1OG9NMPkZWwXtsbI5ryMjccoLSuXyrGdp/view?usp=drivesdk","Earthsea JumpChain.pdf")</f>
        <v>Earthsea JumpChain.pdf</v>
      </c>
      <c r="B45" s="12" t="str">
        <f t="shared" si="4"/>
        <v>SB Drive/Uploads For New Jumps</v>
      </c>
    </row>
    <row r="46">
      <c r="A46" s="12" t="str">
        <f>HYPERLINK("https://drive.google.com/file/d/1pizOKrxaySiu2XA1mtpNlNNSee3XMZoe/view?usp=drivesdk","Wheel of Time - The White Tower v1.3.pdf")</f>
        <v>Wheel of Time - The White Tower v1.3.pdf</v>
      </c>
      <c r="B46" s="12" t="str">
        <f t="shared" si="4"/>
        <v>SB Drive/Uploads For New Jumps</v>
      </c>
    </row>
    <row r="47">
      <c r="A47" s="12" t="str">
        <f>HYPERLINK("https://drive.google.com/file/d/1rxJLCX67_AGrd14-OL4H6Gk2qYLwRlCu/view?usp=drivesdk","Infinity Blade Jumpchain.pdf")</f>
        <v>Infinity Blade Jumpchain.pdf</v>
      </c>
      <c r="B47" s="12" t="str">
        <f t="shared" si="4"/>
        <v>SB Drive/Uploads For New Jumps</v>
      </c>
    </row>
    <row r="48">
      <c r="A48" s="12" t="str">
        <f>HYPERLINK("https://drive.google.com/file/d/13ZQs908ZMwcnFrVNY-c8UbNENwq5LHy7/view?usp=drivesdk","A Throne of Glass Jump v1.pdf")</f>
        <v>A Throne of Glass Jump v1.pdf</v>
      </c>
      <c r="B48" s="12" t="str">
        <f t="shared" si="4"/>
        <v>SB Drive/Uploads For New Jumps</v>
      </c>
    </row>
    <row r="49">
      <c r="A49" s="12" t="str">
        <f>HYPERLINK("https://drive.google.com/file/d/1_Cvl9V-hYsux59avBoeUzobRd3jOOhZt/view?usp=drivesdk","October Daye jumpchain.pdf")</f>
        <v>October Daye jumpchain.pdf</v>
      </c>
      <c r="B49" s="12" t="str">
        <f t="shared" si="4"/>
        <v>SB Drive/Uploads For New Jumps</v>
      </c>
    </row>
    <row r="50">
      <c r="A50" s="12" t="str">
        <f>HYPERLINK("https://drive.google.com/file/d/1xCm2Db_i_WlfuS69wEcd8loDf48dUcLg/view?usp=drivesdk","Wild Arms 3.pdf")</f>
        <v>Wild Arms 3.pdf</v>
      </c>
      <c r="B50" s="12" t="str">
        <f t="shared" si="4"/>
        <v>SB Drive/Uploads For New Jumps</v>
      </c>
    </row>
    <row r="51">
      <c r="A51" s="12" t="str">
        <f>HYPERLINK("https://drive.google.com/file/d/1qWHx8wA-e39yF8byAF8a5PgHMwWG6TAK/view?usp=drivesdk","Generic One Piece Fanfiction v1.1.pdf")</f>
        <v>Generic One Piece Fanfiction v1.1.pdf</v>
      </c>
      <c r="B51" s="12" t="str">
        <f t="shared" si="4"/>
        <v>SB Drive/Uploads For New Jumps</v>
      </c>
    </row>
    <row r="52">
      <c r="A52" s="12" t="str">
        <f>HYPERLINK("https://drive.google.com/file/d/13dDBQMAE1Z7VbRBCrs3mKolPyXRpA2Di/view?usp=drivesdk","XCOM Enemy Unknown.pdf")</f>
        <v>XCOM Enemy Unknown.pdf</v>
      </c>
      <c r="B52" s="12" t="str">
        <f t="shared" si="4"/>
        <v>SB Drive/Uploads For New Jumps</v>
      </c>
    </row>
    <row r="53">
      <c r="A53" s="12" t="str">
        <f>HYPERLINK("https://drive.google.com/file/d/1eHyj0RQHR2bjmzYa0YBVzbON_SEb8Q6V/view?usp=drivesdk","Nexusverse - D'void.pdf")</f>
        <v>Nexusverse - D'void.pdf</v>
      </c>
      <c r="B53" s="12" t="str">
        <f t="shared" si="4"/>
        <v>SB Drive/Uploads For New Jumps</v>
      </c>
    </row>
    <row r="54">
      <c r="A54" s="12" t="str">
        <f>HYPERLINK("https://drive.google.com/file/d/1xa3OFyVE6bHdrIibJHd4G3WdUz3i3O_u/view?usp=drivesdk","Monte Cook's World of Darkness.pdf")</f>
        <v>Monte Cook's World of Darkness.pdf</v>
      </c>
      <c r="B54" s="12" t="str">
        <f t="shared" si="4"/>
        <v>SB Drive/Uploads For New Jumps</v>
      </c>
    </row>
    <row r="55">
      <c r="A55" s="12" t="str">
        <f>HYPERLINK("https://drive.google.com/file/d/1d76w8X2OXoiqCo-IHb9wCDgQKK4Afvrg/view?usp=drivesdk","The Librarian v2.5.pdf")</f>
        <v>The Librarian v2.5.pdf</v>
      </c>
      <c r="B55" s="12" t="str">
        <f t="shared" si="4"/>
        <v>SB Drive/Uploads For New Jumps</v>
      </c>
    </row>
    <row r="56">
      <c r="A56" s="12" t="str">
        <f>HYPERLINK("https://drive.google.com/file/d/1hi7R5NTvIsBD9SKccvJEMDWgm-y1Zspe/view?usp=drivesdk","Viva Pinata Jump v1.0.pdf")</f>
        <v>Viva Pinata Jump v1.0.pdf</v>
      </c>
      <c r="B56" s="12" t="str">
        <f t="shared" si="4"/>
        <v>SB Drive/Uploads For New Jumps</v>
      </c>
    </row>
    <row r="57">
      <c r="A57" s="12" t="str">
        <f>HYPERLINK("https://drive.google.com/file/d/1p2ApBEjSmoiGLW33kVDVBZ4yyMqst4sq/view?usp=drivesdk","Reimu's Awesome Holiday.pdf")</f>
        <v>Reimu's Awesome Holiday.pdf</v>
      </c>
      <c r="B57" s="12" t="str">
        <f t="shared" si="4"/>
        <v>SB Drive/Uploads For New Jumps</v>
      </c>
    </row>
    <row r="58">
      <c r="A58" s="12" t="str">
        <f>HYPERLINK("https://drive.google.com/file/d/1_a59z9xNqCEFqT3pk-5EM9Et-zlm2k6z/view?usp=drivesdk","Generic RWBY Fanfiction Jump.pdf")</f>
        <v>Generic RWBY Fanfiction Jump.pdf</v>
      </c>
      <c r="B58" s="12" t="str">
        <f t="shared" si="4"/>
        <v>SB Drive/Uploads For New Jumps</v>
      </c>
    </row>
    <row r="59">
      <c r="A59" s="12" t="str">
        <f>HYPERLINK("https://drive.google.com/file/d/1rOz6rXGkWu3_FN_PzU79e48TEUu8kHFi/view?usp=drivesdk","Blazing Saddles.pdf")</f>
        <v>Blazing Saddles.pdf</v>
      </c>
      <c r="B59" s="12" t="str">
        <f t="shared" si="4"/>
        <v>SB Drive/Uploads For New Jumps</v>
      </c>
    </row>
    <row r="60">
      <c r="A60" s="12" t="str">
        <f>HYPERLINK("https://drive.google.com/file/d/1qIkpswHW2aNQMws5l4w4VV4CdeZYXJgW/view?usp=drivesdk","Buffy - Slayer Magic.pdf")</f>
        <v>Buffy - Slayer Magic.pdf</v>
      </c>
      <c r="B60" s="12" t="str">
        <f t="shared" si="4"/>
        <v>SB Drive/Uploads For New Jumps</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2" t="str">
        <f>HYPERLINK("https://drive.google.com/file/d/1MyHf9Ro2dxVLevQ7y4fwtAprOhzntmc2/view?usp=drivesdk","Pokemon, Warehouse, _ Infamous JumpChain.pdf")</f>
        <v>Pokemon, Warehouse, _ Infamous JumpChain.pdf</v>
      </c>
      <c r="B1" s="12" t="str">
        <f>HYPERLINK("https://drive.google.com/drive/folders/1k24uL0W3sZPjZUZskpBXYKdOSe0aRMAB","DriveAnon's 4chan Drive/1. QUICKSILVER'S JUMPS")</f>
        <v>DriveAnon's 4chan Drive/1. QUICKSILVER'S JUMPS</v>
      </c>
    </row>
    <row r="2">
      <c r="A2" s="12" t="str">
        <f>HYPERLINK("https://drive.google.com/file/d/12a4bSoTD-Rg_JI6QG0PLXED5_2LUCiVe/view?usp=drivesdk","2.png")</f>
        <v>2.png</v>
      </c>
      <c r="B2" s="12" t="str">
        <f t="shared" ref="B2:B4" si="1">HYPERLINK("https://drive.google.com/drive/folders/11dk0SLm9Pl1tr1bFKQVJBfPFDEmt8HSR","DriveAnon's 4chan Drive/1. QUICKSILVER'S JUMPS/Body Mod")</f>
        <v>DriveAnon's 4chan Drive/1. QUICKSILVER'S JUMPS/Body Mod</v>
      </c>
    </row>
    <row r="3">
      <c r="A3" s="12" t="str">
        <f>HYPERLINK("https://drive.google.com/file/d/1ABA2K6iRkvFdCnx10kP4xlGFz7cTGP7g/view?usp=drivesdk","1.png")</f>
        <v>1.png</v>
      </c>
      <c r="B3" s="12" t="str">
        <f t="shared" si="1"/>
        <v>DriveAnon's 4chan Drive/1. QUICKSILVER'S JUMPS/Body Mod</v>
      </c>
    </row>
    <row r="4">
      <c r="A4" s="12" t="str">
        <f>HYPERLINK("https://drive.google.com/file/d/1H-qzrQRCuB20b8n1Kz4ggHY7wjdKDuff/view?usp=drivesdk","Jumpchain Body Mod.pdf")</f>
        <v>Jumpchain Body Mod.pdf</v>
      </c>
      <c r="B4" s="12" t="str">
        <f t="shared" si="1"/>
        <v>DriveAnon's 4chan Drive/1. QUICKSILVER'S JUMPS/Body Mod</v>
      </c>
    </row>
    <row r="5">
      <c r="A5" s="12" t="str">
        <f>HYPERLINK("https://drive.google.com/file/d/12eYSOgcxpw-gX1vm1SxmYSTxS80AcGCA/view?usp=drivesdk","Infamous JumpChain.pdf")</f>
        <v>Infamous JumpChain.pdf</v>
      </c>
      <c r="B5" s="12" t="str">
        <f>HYPERLINK("https://drive.google.com/drive/folders/1BEJ9VAt7Xi0-0hrtCz2tSLgYdWcdh9_k","DriveAnon's 4chan Drive/1. QUICKSILVER'S JUMPS/2 - InFamous")</f>
        <v>DriveAnon's 4chan Drive/1. QUICKSILVER'S JUMPS/2 - InFamous</v>
      </c>
    </row>
    <row r="6">
      <c r="A6" s="12" t="str">
        <f>HYPERLINK("https://drive.google.com/file/d/17M-x5-UNr3O-brzgZ2RhoSgJSLqA6Z7z/view?usp=drivesdk","6.png")</f>
        <v>6.png</v>
      </c>
      <c r="B6" s="12" t="str">
        <f t="shared" ref="B6:B13" si="2">HYPERLINK("https://drive.google.com/drive/folders/1Vr2E-pIs0EnfhXh2wmyGeqBqpKUY42wD","DriveAnon's 4chan Drive/1. QUICKSILVER'S JUMPS/2 - InFamous/_Old_ Infamous Jump")</f>
        <v>DriveAnon's 4chan Drive/1. QUICKSILVER'S JUMPS/2 - InFamous/_Old_ Infamous Jump</v>
      </c>
    </row>
    <row r="7">
      <c r="A7" s="12" t="str">
        <f>HYPERLINK("https://drive.google.com/file/d/19KTMEBOg0uGjY1pbmhohdMq0enR4jmzc/view?usp=drivesdk","4.png")</f>
        <v>4.png</v>
      </c>
      <c r="B7" s="12" t="str">
        <f t="shared" si="2"/>
        <v>DriveAnon's 4chan Drive/1. QUICKSILVER'S JUMPS/2 - InFamous/_Old_ Infamous Jump</v>
      </c>
    </row>
    <row r="8">
      <c r="A8" s="12" t="str">
        <f>HYPERLINK("https://drive.google.com/file/d/1ACTP5AChN9pCkvSSABy5RZJ7WnZKTY7q/view?usp=drivesdk","5.png")</f>
        <v>5.png</v>
      </c>
      <c r="B8" s="12" t="str">
        <f t="shared" si="2"/>
        <v>DriveAnon's 4chan Drive/1. QUICKSILVER'S JUMPS/2 - InFamous/_Old_ Infamous Jump</v>
      </c>
    </row>
    <row r="9">
      <c r="A9" s="12" t="str">
        <f>HYPERLINK("https://drive.google.com/file/d/1K66hG3zOwmvzdFQenXmbUlPAGYsUItnN/view?usp=drivesdk","3.png")</f>
        <v>3.png</v>
      </c>
      <c r="B9" s="12" t="str">
        <f t="shared" si="2"/>
        <v>DriveAnon's 4chan Drive/1. QUICKSILVER'S JUMPS/2 - InFamous/_Old_ Infamous Jump</v>
      </c>
    </row>
    <row r="10">
      <c r="A10" s="12" t="str">
        <f>HYPERLINK("https://drive.google.com/file/d/1LSz-Xf_veUesyUvGBnr8ASpaTRddAw98/view?usp=drivesdk","1.png")</f>
        <v>1.png</v>
      </c>
      <c r="B10" s="12" t="str">
        <f t="shared" si="2"/>
        <v>DriveAnon's 4chan Drive/1. QUICKSILVER'S JUMPS/2 - InFamous/_Old_ Infamous Jump</v>
      </c>
    </row>
    <row r="11">
      <c r="A11" s="12" t="str">
        <f>HYPERLINK("https://drive.google.com/file/d/1SAC6cb60TeVIHqvUbdSuk_Fh9GziZD-g/view?usp=drivesdk","8.png")</f>
        <v>8.png</v>
      </c>
      <c r="B11" s="12" t="str">
        <f t="shared" si="2"/>
        <v>DriveAnon's 4chan Drive/1. QUICKSILVER'S JUMPS/2 - InFamous/_Old_ Infamous Jump</v>
      </c>
    </row>
    <row r="12">
      <c r="A12" s="12" t="str">
        <f>HYPERLINK("https://drive.google.com/file/d/1qkKJcGDrLd6mwuUVuT9ilUfmd8ZwbXg1/view?usp=drivesdk","7.png")</f>
        <v>7.png</v>
      </c>
      <c r="B12" s="12" t="str">
        <f t="shared" si="2"/>
        <v>DriveAnon's 4chan Drive/1. QUICKSILVER'S JUMPS/2 - InFamous/_Old_ Infamous Jump</v>
      </c>
    </row>
    <row r="13">
      <c r="A13" s="12" t="str">
        <f>HYPERLINK("https://drive.google.com/file/d/1rIv2OK246WTF5tWWgqGh0H1AlMjDXSRK/view?usp=drivesdk","2.png")</f>
        <v>2.png</v>
      </c>
      <c r="B13" s="12" t="str">
        <f t="shared" si="2"/>
        <v>DriveAnon's 4chan Drive/1. QUICKSILVER'S JUMPS/2 - InFamous/_Old_ Infamous Jump</v>
      </c>
    </row>
    <row r="14">
      <c r="A14" s="12" t="str">
        <f>HYPERLINK("https://drive.google.com/file/d/1BUO09hmK_iMyo2xSUmfBuo4nAk90veMu/view?usp=drivesdk","WarehouseUpdate.png")</f>
        <v>WarehouseUpdate.png</v>
      </c>
      <c r="B14" s="12" t="str">
        <f t="shared" ref="B14:B16" si="3">HYPERLINK("https://drive.google.com/drive/folders/1H0CsGw9yd60AmfX-loIpeTpJwZkAo00h","DriveAnon's 4chan Drive/1. QUICKSILVER'S JUMPS/JumpChain Warehouse")</f>
        <v>DriveAnon's 4chan Drive/1. QUICKSILVER'S JUMPS/JumpChain Warehouse</v>
      </c>
    </row>
    <row r="15">
      <c r="A15" s="12" t="str">
        <f>HYPERLINK("https://drive.google.com/file/d/1N65_yQrDwkbmQNMNBdmF62_CAbvnfLIN/view?usp=drivesdk","Jumpchain Warehouse.pdf")</f>
        <v>Jumpchain Warehouse.pdf</v>
      </c>
      <c r="B15" s="12" t="str">
        <f t="shared" si="3"/>
        <v>DriveAnon's 4chan Drive/1. QUICKSILVER'S JUMPS/JumpChain Warehouse</v>
      </c>
    </row>
    <row r="16">
      <c r="A16" s="12" t="str">
        <f>HYPERLINK("https://drive.google.com/file/d/1UvYGzbTgaT2JButyyP2zx6TwMLr_I38Q/view?usp=drivesdk","WarehouseUpdate(1).png")</f>
        <v>WarehouseUpdate(1).png</v>
      </c>
      <c r="B16" s="12" t="str">
        <f t="shared" si="3"/>
        <v>DriveAnon's 4chan Drive/1. QUICKSILVER'S JUMPS/JumpChain Warehouse</v>
      </c>
    </row>
    <row r="17">
      <c r="A17" s="12" t="str">
        <f>HYPERLINK("https://drive.google.com/file/d/1-JldmtvXXId1HbQH_lLXhID0LLLg_9S6/view?usp=drivesdk","PMD JumpChain.pdf")</f>
        <v>PMD JumpChain.pdf</v>
      </c>
      <c r="B17" s="12" t="str">
        <f t="shared" ref="B17:B24" si="4">HYPERLINK("https://drive.google.com/drive/folders/1JnHr4UCOrC-fRZkfTGx7kznYObx-7_du","DriveAnon's 4chan Drive/1. QUICKSILVER'S JUMPS/3 - Mystery Dungeon")</f>
        <v>DriveAnon's 4chan Drive/1. QUICKSILVER'S JUMPS/3 - Mystery Dungeon</v>
      </c>
    </row>
    <row r="18">
      <c r="A18" s="12" t="str">
        <f>HYPERLINK("https://drive.google.com/file/d/13nz0ClwXn_XEWD-w1ox8f00Nk5SF2VUG/view?usp=drivesdk","PKM2.png")</f>
        <v>PKM2.png</v>
      </c>
      <c r="B18" s="12" t="str">
        <f t="shared" si="4"/>
        <v>DriveAnon's 4chan Drive/1. QUICKSILVER'S JUMPS/3 - Mystery Dungeon</v>
      </c>
    </row>
    <row r="19">
      <c r="A19" s="12" t="str">
        <f>HYPERLINK("https://drive.google.com/file/d/17PSnNOK8Kiaf_CgQwjY78jYWGiwwgoY-/view?usp=drivesdk","PKM3.png")</f>
        <v>PKM3.png</v>
      </c>
      <c r="B19" s="12" t="str">
        <f t="shared" si="4"/>
        <v>DriveAnon's 4chan Drive/1. QUICKSILVER'S JUMPS/3 - Mystery Dungeon</v>
      </c>
    </row>
    <row r="20">
      <c r="A20" s="12" t="str">
        <f>HYPERLINK("https://drive.google.com/file/d/1Nk4SxduNeZ8XoY9st5evelGd2Chiw-rx/view?usp=drivesdk","PKM4.png")</f>
        <v>PKM4.png</v>
      </c>
      <c r="B20" s="12" t="str">
        <f t="shared" si="4"/>
        <v>DriveAnon's 4chan Drive/1. QUICKSILVER'S JUMPS/3 - Mystery Dungeon</v>
      </c>
    </row>
    <row r="21">
      <c r="A21" s="12" t="str">
        <f>HYPERLINK("https://drive.google.com/file/d/1UEbem7poXi3BgQj7OY_ZcSX1kc0sBZwF/view?usp=drivesdk","PKM1.png")</f>
        <v>PKM1.png</v>
      </c>
      <c r="B21" s="12" t="str">
        <f t="shared" si="4"/>
        <v>DriveAnon's 4chan Drive/1. QUICKSILVER'S JUMPS/3 - Mystery Dungeon</v>
      </c>
    </row>
    <row r="22">
      <c r="A22" s="12" t="str">
        <f>HYPERLINK("https://drive.google.com/file/d/1UnkQCs4G6--JguDkF8KVYUpT_OB6stb6/view?usp=drivesdk","PKM7.png")</f>
        <v>PKM7.png</v>
      </c>
      <c r="B22" s="12" t="str">
        <f t="shared" si="4"/>
        <v>DriveAnon's 4chan Drive/1. QUICKSILVER'S JUMPS/3 - Mystery Dungeon</v>
      </c>
    </row>
    <row r="23">
      <c r="A23" s="12" t="str">
        <f>HYPERLINK("https://drive.google.com/file/d/1hxaOabCPqJMakV7LYrrD0U8MzyhTAtdT/view?usp=drivesdk","PKM5.png")</f>
        <v>PKM5.png</v>
      </c>
      <c r="B23" s="12" t="str">
        <f t="shared" si="4"/>
        <v>DriveAnon's 4chan Drive/1. QUICKSILVER'S JUMPS/3 - Mystery Dungeon</v>
      </c>
    </row>
    <row r="24">
      <c r="A24" s="12" t="str">
        <f>HYPERLINK("https://drive.google.com/file/d/1rx7gl4a8oxJWWyvNcuJ3Dvi3mkIQl6vF/view?usp=drivesdk","PKM6.png")</f>
        <v>PKM6.png</v>
      </c>
      <c r="B24" s="12" t="str">
        <f t="shared" si="4"/>
        <v>DriveAnon's 4chan Drive/1. QUICKSILVER'S JUMPS/3 - Mystery Dungeon</v>
      </c>
    </row>
    <row r="25">
      <c r="A25" s="12" t="str">
        <f>HYPERLINK("https://drive.google.com/file/d/1C0JMHyOtSdW8NugPZRFrko0oc_rkYoN-/view?usp=drivesdk","Pokemon JumpChain.pdf")</f>
        <v>Pokemon JumpChain.pdf</v>
      </c>
      <c r="B25" s="12" t="str">
        <f>HYPERLINK("https://drive.google.com/drive/folders/1h39em6aPm3-dG115ue2WZssDEmYgu-MM","DriveAnon's 4chan Drive/1. QUICKSILVER'S JUMPS/1 - Pokemon Trainer")</f>
        <v>DriveAnon's 4chan Drive/1. QUICKSILVER'S JUMPS/1 - Pokemon Trainer</v>
      </c>
    </row>
    <row r="26">
      <c r="A26" s="12" t="str">
        <f>HYPERLINK("https://drive.google.com/file/d/140H3TdccecA-ttRjh5EMp0s-Vj613PDu/view?usp=drivesdk","6.png")</f>
        <v>6.png</v>
      </c>
      <c r="B26" s="12" t="str">
        <f t="shared" ref="B26:B32" si="5">HYPERLINK("https://drive.google.com/drive/folders/1CAfCyvzYAnX_Z3qAZfXpGu440xKGSaB2","DriveAnon's 4chan Drive/1. QUICKSILVER'S JUMPS/1 - Pokemon Trainer/_Old_ Pokemon Jump")</f>
        <v>DriveAnon's 4chan Drive/1. QUICKSILVER'S JUMPS/1 - Pokemon Trainer/_Old_ Pokemon Jump</v>
      </c>
    </row>
    <row r="27">
      <c r="A27" s="12" t="str">
        <f>HYPERLINK("https://drive.google.com/file/d/1Lo4zc0XuGNf9QHjISmPK030d2oGVwpXW/view?usp=drivesdk","3.png")</f>
        <v>3.png</v>
      </c>
      <c r="B27" s="12" t="str">
        <f t="shared" si="5"/>
        <v>DriveAnon's 4chan Drive/1. QUICKSILVER'S JUMPS/1 - Pokemon Trainer/_Old_ Pokemon Jump</v>
      </c>
    </row>
    <row r="28">
      <c r="A28" s="12" t="str">
        <f>HYPERLINK("https://drive.google.com/file/d/1P7U4xQ3wYJ5Ij-dwPlRPVOZM3lO6Zk_M/view?usp=drivesdk","Pokemon CYOA.pdf")</f>
        <v>Pokemon CYOA.pdf</v>
      </c>
      <c r="B28" s="12" t="str">
        <f t="shared" si="5"/>
        <v>DriveAnon's 4chan Drive/1. QUICKSILVER'S JUMPS/1 - Pokemon Trainer/_Old_ Pokemon Jump</v>
      </c>
    </row>
    <row r="29">
      <c r="A29" s="12" t="str">
        <f>HYPERLINK("https://drive.google.com/file/d/1dXkQnQVbV5NY9EH4d1YEfHTRoj6ZWvOf/view?usp=drivesdk","4.png")</f>
        <v>4.png</v>
      </c>
      <c r="B29" s="12" t="str">
        <f t="shared" si="5"/>
        <v>DriveAnon's 4chan Drive/1. QUICKSILVER'S JUMPS/1 - Pokemon Trainer/_Old_ Pokemon Jump</v>
      </c>
    </row>
    <row r="30">
      <c r="A30" s="12" t="str">
        <f>HYPERLINK("https://drive.google.com/file/d/1mipY3UdIVcHduAVQCy3ZBGFr2dWohR-a/view?usp=drivesdk","1.png")</f>
        <v>1.png</v>
      </c>
      <c r="B30" s="12" t="str">
        <f t="shared" si="5"/>
        <v>DriveAnon's 4chan Drive/1. QUICKSILVER'S JUMPS/1 - Pokemon Trainer/_Old_ Pokemon Jump</v>
      </c>
    </row>
    <row r="31">
      <c r="A31" s="12" t="str">
        <f>HYPERLINK("https://drive.google.com/file/d/1n0O6r9MXI1kZMLUvpvAkdK7_8iIsx7bV/view?usp=drivesdk","7.png")</f>
        <v>7.png</v>
      </c>
      <c r="B31" s="12" t="str">
        <f t="shared" si="5"/>
        <v>DriveAnon's 4chan Drive/1. QUICKSILVER'S JUMPS/1 - Pokemon Trainer/_Old_ Pokemon Jump</v>
      </c>
    </row>
    <row r="32">
      <c r="A32" s="12" t="str">
        <f>HYPERLINK("https://drive.google.com/file/d/1yyCg7FQKxcSQwkK0By0c3QEjo1FqcSvm/view?usp=drivesdk","5.png")</f>
        <v>5.png</v>
      </c>
      <c r="B32" s="12" t="str">
        <f t="shared" si="5"/>
        <v>DriveAnon's 4chan Drive/1. QUICKSILVER'S JUMPS/1 - Pokemon Trainer/_Old_ Pokemon Jump</v>
      </c>
    </row>
    <row r="33">
      <c r="A33" s="12" t="str">
        <f>HYPERLINK("https://drive.google.com/file/d/175hP7X2pC7qES8yAwT50m55Xqv-OzYWv/view?usp=drivesdk","DragonBall JumpChain.pdf")</f>
        <v>DragonBall JumpChain.pdf</v>
      </c>
      <c r="B33" s="12" t="str">
        <f>HYPERLINK("https://drive.google.com/drive/folders/1nPqsh1LQa5sb9Oj4a0sh0CBlWM6xkWwX","DriveAnon's 4chan Drive/1. QUICKSILVER'S JUMPS/5 - Dragon Ball")</f>
        <v>DriveAnon's 4chan Drive/1. QUICKSILVER'S JUMPS/5 - Dragon Ball</v>
      </c>
    </row>
    <row r="34">
      <c r="A34" s="12" t="str">
        <f>HYPERLINK("https://drive.google.com/file/d/1KpigtrnEk2TRV1gaqPZw6KoBFmhUY8dy/view?usp=drivesdk","Doom 2016 JumpChain.pdf")</f>
        <v>Doom 2016 JumpChain.pdf</v>
      </c>
      <c r="B34" s="12" t="str">
        <f>HYPERLINK("https://drive.google.com/drive/folders/1p6Wnn1wwH-XJT9d0fcHkNfeFCkrxyd0P","DriveAnon's 4chan Drive/1. QUICKSILVER'S JUMPS/6 - DOOM 2016")</f>
        <v>DriveAnon's 4chan Drive/1. QUICKSILVER'S JUMPS/6 - DOOM 2016</v>
      </c>
    </row>
    <row r="35">
      <c r="A35" s="12" t="str">
        <f>HYPERLINK("https://drive.google.com/file/d/1PcG88pzKQ1_X2u2e2rMkGeoSJvVcPfCp/view?usp=drivesdk","Monstergirl Version.pdf")</f>
        <v>Monstergirl Version.pdf</v>
      </c>
      <c r="B35" s="12" t="str">
        <f t="shared" ref="B35:B36" si="6">HYPERLINK("https://drive.google.com/drive/folders/1yUBlF16EahR4ENx1_i_Lic8Vvp51IIPR","DriveAnon's 4chan Drive/1. QUICKSILVER'S JUMPS/4 -Mass Effect")</f>
        <v>DriveAnon's 4chan Drive/1. QUICKSILVER'S JUMPS/4 -Mass Effect</v>
      </c>
    </row>
    <row r="36">
      <c r="A36" s="12" t="str">
        <f>HYPERLINK("https://drive.google.com/file/d/1ywWDuU25hDHa10G_aVyOS3ZaQHRgTGiL/view?usp=drivesdk","Mass Effect JumpChain.pdf")</f>
        <v>Mass Effect JumpChain.pdf</v>
      </c>
      <c r="B36" s="12" t="str">
        <f t="shared" si="6"/>
        <v>DriveAnon's 4chan Drive/1. QUICKSILVER'S JUMPS/4 -Mass Effect</v>
      </c>
    </row>
    <row r="37">
      <c r="A37" s="12" t="str">
        <f>HYPERLINK("https://docs.google.com/spreadsheets/d/1HMHsFvR5EYHTE51IRm7cKit9Mb7uw-j_/edit?usp=drivesdk&amp;ouid=115153177157280896651&amp;rtpof=true&amp;sd=true","Jump List 12-23-17.xlsx")</f>
        <v>Jump List 12-23-17.xlsx</v>
      </c>
      <c r="B37" s="12" t="str">
        <f t="shared" ref="B37:B44" si="7">HYPERLINK("https://drive.google.com/drive/folders/1QXW7ErHxu3i0y_rCxJGeDrEWNSav_R7P","DriveAnon's 4chan Drive/2. EVERYONE ELSE'S JUMPS/7. Lists")</f>
        <v>DriveAnon's 4chan Drive/2. EVERYONE ELSE'S JUMPS/7. Lists</v>
      </c>
    </row>
    <row r="38">
      <c r="A38" s="12" t="str">
        <f>HYPERLINK("https://drive.google.com/file/d/1OD7njlPBSDTT970pD7JCzZmlkleXF2gs/view?usp=drivesdk","Jumps With Human or Alt-forms for Companions.pdf")</f>
        <v>Jumps With Human or Alt-forms for Companions.pdf</v>
      </c>
      <c r="B38" s="12" t="str">
        <f t="shared" si="7"/>
        <v>DriveAnon's 4chan Drive/2. EVERYONE ELSE'S JUMPS/7. Lists</v>
      </c>
    </row>
    <row r="39">
      <c r="A39" s="12" t="str">
        <f>HYPERLINK("https://drive.google.com/file/d/1SEAxkfAy5TqYCjjsoM1HoxwaKZPibpXY/view?usp=drivesdk","JumpChain Bestowable PowersAbilities .pdf")</f>
        <v>JumpChain Bestowable PowersAbilities .pdf</v>
      </c>
      <c r="B39" s="12" t="str">
        <f t="shared" si="7"/>
        <v>DriveAnon's 4chan Drive/2. EVERYONE ELSE'S JUMPS/7. Lists</v>
      </c>
    </row>
    <row r="40">
      <c r="A40" s="12" t="str">
        <f>HYPERLINK("https://docs.google.com/spreadsheets/d/1WqFUxoJMpkPLTU14MbN2aggda-D1uIGv/edit?usp=drivesdk&amp;ouid=115153177157280896651&amp;rtpof=true&amp;sd=true","Magic In Jumpchain_ Divine Magic in Innistrad Edition.xlsx")</f>
        <v>Magic In Jumpchain_ Divine Magic in Innistrad Edition.xlsx</v>
      </c>
      <c r="B40" s="12" t="str">
        <f t="shared" si="7"/>
        <v>DriveAnon's 4chan Drive/2. EVERYONE ELSE'S JUMPS/7. Lists</v>
      </c>
    </row>
    <row r="41">
      <c r="A41" s="12" t="str">
        <f>HYPERLINK("https://drive.google.com/file/d/1dJGp_VTIHjNfitLkPW9tT9_0BpyaXucb/view?usp=drivesdk","List-integrates with other jumps(2).txt")</f>
        <v>List-integrates with other jumps(2).txt</v>
      </c>
      <c r="B41" s="12" t="str">
        <f t="shared" si="7"/>
        <v>DriveAnon's 4chan Drive/2. EVERYONE ELSE'S JUMPS/7. Lists</v>
      </c>
    </row>
    <row r="42">
      <c r="A42" s="12" t="str">
        <f>HYPERLINK("https://drive.google.com/file/d/1f8d6an_vbzi4rlUhwJ6gkJXzIDzVusFi/view?usp=drivesdk","JumpChain - List with Locations.pdf")</f>
        <v>JumpChain - List with Locations.pdf</v>
      </c>
      <c r="B42" s="12" t="str">
        <f t="shared" si="7"/>
        <v>DriveAnon's 4chan Drive/2. EVERYONE ELSE'S JUMPS/7. Lists</v>
      </c>
    </row>
    <row r="43">
      <c r="A43" s="12" t="str">
        <f>HYPERLINK("https://drive.google.com/file/d/1hWVh8YwWbRhBDqmN_NLoGL7qTtZ3acMm/view?usp=drivesdk","List-integrates with other jumps(1).txt")</f>
        <v>List-integrates with other jumps(1).txt</v>
      </c>
      <c r="B43" s="12" t="str">
        <f t="shared" si="7"/>
        <v>DriveAnon's 4chan Drive/2. EVERYONE ELSE'S JUMPS/7. Lists</v>
      </c>
    </row>
    <row r="44">
      <c r="A44" s="12" t="str">
        <f>HYPERLINK("https://drive.google.com/file/d/1quIKlCTJttN8toeJDgfHgbWn7sPsNU-b/view?usp=drivesdk","Jumpchain Magic (PDF Version).pdf")</f>
        <v>Jumpchain Magic (PDF Version).pdf</v>
      </c>
      <c r="B44" s="12" t="str">
        <f t="shared" si="7"/>
        <v>DriveAnon's 4chan Drive/2. EVERYONE ELSE'S JUMPS/7. Lists</v>
      </c>
    </row>
    <row r="45">
      <c r="A45" s="12" t="str">
        <f>HYPERLINK("https://drive.google.com/file/d/1i7tIkzHR8qNieg4lIBbuVAokA3b0jqqm/view?usp=drivesdk","Sin &amp; Punishment 2 - Successor Of The Skies.pdf")</f>
        <v>Sin &amp; Punishment 2 - Successor Of The Skies.pdf</v>
      </c>
      <c r="B45" s="12" t="str">
        <f t="shared" ref="B45:B46" si="8">HYPERLINK("https://drive.google.com/drive/folders/1EoXlsfZF_bJprgQc0RoU8m118Um7wvg8","DriveAnon's 4chan Drive/2. EVERYONE ELSE'S JUMPS/3. Series/Sin &amp; Punishment")</f>
        <v>DriveAnon's 4chan Drive/2. EVERYONE ELSE'S JUMPS/3. Series/Sin &amp; Punishment</v>
      </c>
    </row>
    <row r="46">
      <c r="A46" s="12" t="str">
        <f>HYPERLINK("https://drive.google.com/file/d/1DPR4eeSPActUcp8tRGEhY-k6ZRYnob3p/view?usp=drivesdk","Sin &amp; Punishment - Successor Of The Earth.pdf")</f>
        <v>Sin &amp; Punishment - Successor Of The Earth.pdf</v>
      </c>
      <c r="B46" s="12" t="str">
        <f t="shared" si="8"/>
        <v>DriveAnon's 4chan Drive/2. EVERYONE ELSE'S JUMPS/3. Series/Sin &amp; Punishment</v>
      </c>
    </row>
    <row r="47">
      <c r="A47" s="12" t="str">
        <f>HYPERLINK("https://drive.google.com/file/d/13yTiu_pgl8qLZlni7RuIjGCbcghb3M_3/view?usp=drivesdk","Stellaris Version (NamelessAnon's Version).pdf")</f>
        <v>Stellaris Version (NamelessAnon's Version).pdf</v>
      </c>
      <c r="B47" s="12" t="str">
        <f t="shared" ref="B47:B48" si="9">HYPERLINK("https://drive.google.com/drive/folders/14Ky_tjJ5vFYCR3W6epxFQ6rAxG1akYGt","DriveAnon's 4chan Drive/2. EVERYONE ELSE'S JUMPS/3. Series/Stellaris")</f>
        <v>DriveAnon's 4chan Drive/2. EVERYONE ELSE'S JUMPS/3. Series/Stellaris</v>
      </c>
    </row>
    <row r="48">
      <c r="A48" s="12" t="str">
        <f>HYPERLINK("https://drive.google.com/file/d/14uqQY4pTtIi-4WY3Upi69sVM1qgYxY78/view?usp=drivesdk","Stellaris JumpChain.pdf")</f>
        <v>Stellaris JumpChain.pdf</v>
      </c>
      <c r="B48" s="12" t="str">
        <f t="shared" si="9"/>
        <v>DriveAnon's 4chan Drive/2. EVERYONE ELSE'S JUMPS/3. Series/Stellaris</v>
      </c>
    </row>
    <row r="49">
      <c r="A49" s="12" t="str">
        <f>HYPERLINK("https://drive.google.com/file/d/18D8bM--H6AYetE0GUiDF2jchtaXo34yR/view?usp=drivesdk","One Punch Man (PsychoAnon's Version).pdf")</f>
        <v>One Punch Man (PsychoAnon's Version).pdf</v>
      </c>
      <c r="B49" s="12" t="str">
        <f t="shared" ref="B49:B50" si="10">HYPERLINK("https://drive.google.com/drive/folders/1QEuKor_AECe-52XzY747XpxHBE3tjW9V","DriveAnon's 4chan Drive/2. EVERYONE ELSE'S JUMPS/3. Series/One Punch Man")</f>
        <v>DriveAnon's 4chan Drive/2. EVERYONE ELSE'S JUMPS/3. Series/One Punch Man</v>
      </c>
    </row>
    <row r="50">
      <c r="A50" s="12" t="str">
        <f>HYPERLINK("https://drive.google.com/file/d/1W1PMnYpEs8XVy8x0Z-G3ALNwEUZ8GTE6/view?usp=drivesdk","One Punch JumpChain.pdf")</f>
        <v>One Punch JumpChain.pdf</v>
      </c>
      <c r="B50" s="12" t="str">
        <f t="shared" si="10"/>
        <v>DriveAnon's 4chan Drive/2. EVERYONE ELSE'S JUMPS/3. Series/One Punch Man</v>
      </c>
    </row>
    <row r="51">
      <c r="A51" s="12" t="str">
        <f>HYPERLINK("https://drive.google.com/file/d/12uDyh5ZAf2ZFFvOK9Uve5I1RbHvyk71u/view?usp=drivesdk","Terminator (MojaveCourier Version).pdf")</f>
        <v>Terminator (MojaveCourier Version).pdf</v>
      </c>
      <c r="B51" s="12" t="str">
        <f t="shared" ref="B51:B52" si="11">HYPERLINK("https://drive.google.com/drive/folders/1XN43z45ydDKsZjYlimMB9KLduwKoDL5_","DriveAnon's 4chan Drive/2. EVERYONE ELSE'S JUMPS/3. Series/Terminator")</f>
        <v>DriveAnon's 4chan Drive/2. EVERYONE ELSE'S JUMPS/3. Series/Terminator</v>
      </c>
    </row>
    <row r="52">
      <c r="A52" s="12" t="str">
        <f>HYPERLINK("https://drive.google.com/file/d/1Qtfub9fz6ad0Gs1B6YntTOD0Pgkgb9_7/view?usp=drivesdk","Terminator JumpChain.pdf")</f>
        <v>Terminator JumpChain.pdf</v>
      </c>
      <c r="B52" s="12" t="str">
        <f t="shared" si="11"/>
        <v>DriveAnon's 4chan Drive/2. EVERYONE ELSE'S JUMPS/3. Series/Terminator</v>
      </c>
    </row>
    <row r="53">
      <c r="A53" s="12" t="str">
        <f>HYPERLINK("https://drive.google.com/file/d/1oCqZv91lkQTUSMx-Sq5AaLJF1RaR5LnO/view?usp=drivesdk","Naruto - Look to the Stars.pdf")</f>
        <v>Naruto - Look to the Stars.pdf</v>
      </c>
      <c r="B53" s="12" t="str">
        <f t="shared" ref="B53:B56" si="12">HYPERLINK("https://drive.google.com/drive/folders/1P-nEAkwjzTXu8cQhp3t3HxprwftosTXh","DriveAnon's 4chan Drive/2. EVERYONE ELSE'S JUMPS/3. Series/Naruto")</f>
        <v>DriveAnon's 4chan Drive/2. EVERYONE ELSE'S JUMPS/3. Series/Naruto</v>
      </c>
    </row>
    <row r="54">
      <c r="A54" s="12" t="str">
        <f>HYPERLINK("https://drive.google.com/file/d/1PIDU5q13j_EU39nR6z5SmV1B9F6WH8FK/view?usp=drivesdk","Naruto (White Version by Valeria and NuBee).pdf")</f>
        <v>Naruto (White Version by Valeria and NuBee).pdf</v>
      </c>
      <c r="B54" s="12" t="str">
        <f t="shared" si="12"/>
        <v>DriveAnon's 4chan Drive/2. EVERYONE ELSE'S JUMPS/3. Series/Naruto</v>
      </c>
    </row>
    <row r="55">
      <c r="A55" s="12" t="str">
        <f>HYPERLINK("https://drive.google.com/file/d/1p-qOXqcbOyLV3XZ_irpDsbg99OelTcV4/view?usp=drivesdk","Naruto (Black Version by NuBee and Valeria).pdf")</f>
        <v>Naruto (Black Version by NuBee and Valeria).pdf</v>
      </c>
      <c r="B55" s="12" t="str">
        <f t="shared" si="12"/>
        <v>DriveAnon's 4chan Drive/2. EVERYONE ELSE'S JUMPS/3. Series/Naruto</v>
      </c>
    </row>
    <row r="56">
      <c r="A56" s="12" t="str">
        <f>HYPERLINK("https://drive.google.com/file/d/1pwd-PH52o0DPEGqPaP8Azv6ww6Xyn258/view?usp=drivesdk","Naruto JumpChain.pdf")</f>
        <v>Naruto JumpChain.pdf</v>
      </c>
      <c r="B56" s="12" t="str">
        <f t="shared" si="12"/>
        <v>DriveAnon's 4chan Drive/2. EVERYONE ELSE'S JUMPS/3. Series/Naruto</v>
      </c>
    </row>
    <row r="57">
      <c r="A57" s="12" t="str">
        <f>HYPERLINK("https://drive.google.com/file/d/1anmWcygOF1r9Z5mnkMdH8RL3zwAbFX06/view?usp=drivesdk","Wheel of Time - The White Tower.pdf")</f>
        <v>Wheel of Time - The White Tower.pdf</v>
      </c>
      <c r="B57" s="12" t="str">
        <f t="shared" ref="B57:B58" si="13">HYPERLINK("https://drive.google.com/drive/folders/1axSlYY8MK9v1IL3vR6jCXUsty4rx9igH","DriveAnon's 4chan Drive/2. EVERYONE ELSE'S JUMPS/3. Series/Wheel Of Time")</f>
        <v>DriveAnon's 4chan Drive/2. EVERYONE ELSE'S JUMPS/3. Series/Wheel Of Time</v>
      </c>
    </row>
    <row r="58">
      <c r="A58" s="12" t="str">
        <f>HYPERLINK("https://drive.google.com/file/d/1eqOXgKGDOZ8t3JNvn7IofetSQOw3ommG/view?usp=drivesdk","Wheel of Time JumpChain.pdf")</f>
        <v>Wheel of Time JumpChain.pdf</v>
      </c>
      <c r="B58" s="12" t="str">
        <f t="shared" si="13"/>
        <v>DriveAnon's 4chan Drive/2. EVERYONE ELSE'S JUMPS/3. Series/Wheel Of Time</v>
      </c>
    </row>
    <row r="59">
      <c r="A59" s="12" t="str">
        <f>HYPERLINK("https://drive.google.com/file/d/10b5ejWCqJqHhSUAFVFesjq_k6Fvkw5k-/view?usp=drivesdk","HighSchool DxD (By HeavensAnon).pdf")</f>
        <v>HighSchool DxD (By HeavensAnon).pdf</v>
      </c>
      <c r="B59" s="12" t="str">
        <f t="shared" ref="B59:B60" si="14">HYPERLINK("https://drive.google.com/drive/folders/1DqvSYplRM9SNBoQ97rnejJfp1jPPURn2","DriveAnon's 4chan Drive/2. EVERYONE ELSE'S JUMPS/3. Series/High School DxD")</f>
        <v>DriveAnon's 4chan Drive/2. EVERYONE ELSE'S JUMPS/3. Series/High School DxD</v>
      </c>
    </row>
    <row r="60">
      <c r="A60" s="12" t="str">
        <f>HYPERLINK("https://drive.google.com/file/d/1wRM1JDfWGUiViIoTTyCdBPNqVS2A12fD/view?usp=drivesdk","High School DxD (By Ricrod).pdf")</f>
        <v>High School DxD (By Ricrod).pdf</v>
      </c>
      <c r="B60" s="12" t="str">
        <f t="shared" si="14"/>
        <v>DriveAnon's 4chan Drive/2. EVERYONE ELSE'S JUMPS/3. Series/High School DxD</v>
      </c>
    </row>
    <row r="61">
      <c r="A61" s="12" t="str">
        <f>HYPERLINK("https://drive.google.com/file/d/1y3t4JzKlbxZrMzwckmx-TMWVN4zAQDnT/view?usp=drivesdk","Slay The Spire (Abhorsen_Anon's Version).pdf")</f>
        <v>Slay The Spire (Abhorsen_Anon's Version).pdf</v>
      </c>
      <c r="B61" s="12" t="str">
        <f t="shared" ref="B61:B63" si="15">HYPERLINK("https://drive.google.com/drive/folders/1Mcws1Lim5uKW3iq8FoQHcTsb3LRK6tDc","DriveAnon's 4chan Drive/2. EVERYONE ELSE'S JUMPS/3. Series/Slay The Spire")</f>
        <v>DriveAnon's 4chan Drive/2. EVERYONE ELSE'S JUMPS/3. Series/Slay The Spire</v>
      </c>
    </row>
    <row r="62">
      <c r="A62" s="12" t="str">
        <f>HYPERLINK("https://drive.google.com/file/d/1RDpQnulrbYvLnMEsUJf0XpMglh2ZgTIk/view?usp=drivesdk","Slay The Spire - Downfall.pdf")</f>
        <v>Slay The Spire - Downfall.pdf</v>
      </c>
      <c r="B62" s="12" t="str">
        <f t="shared" si="15"/>
        <v>DriveAnon's 4chan Drive/2. EVERYONE ELSE'S JUMPS/3. Series/Slay The Spire</v>
      </c>
    </row>
    <row r="63">
      <c r="A63" s="12" t="str">
        <f>HYPERLINK("https://drive.google.com/file/d/1zUgd3ZKYuUKZuNEzciEFkMKqgfs2bYub/view?usp=drivesdk","Slay the Spire JumpChain.pdf")</f>
        <v>Slay the Spire JumpChain.pdf</v>
      </c>
      <c r="B63" s="12" t="str">
        <f t="shared" si="15"/>
        <v>DriveAnon's 4chan Drive/2. EVERYONE ELSE'S JUMPS/3. Series/Slay The Spire</v>
      </c>
    </row>
    <row r="64">
      <c r="A64" s="12" t="str">
        <f>HYPERLINK("https://drive.google.com/file/d/1mMLTiZJEvUITpvzTg_Qoud362BGbHJvX/view?usp=drivesdk","Danny Phantom (Wanderer Version).pdf")</f>
        <v>Danny Phantom (Wanderer Version).pdf</v>
      </c>
      <c r="B64" s="12" t="str">
        <f t="shared" ref="B64:B65" si="16">HYPERLINK("https://drive.google.com/drive/folders/1rlGFmYx9dpi8EPMVA5wa3-MDSLrpHEou","DriveAnon's 4chan Drive/2. EVERYONE ELSE'S JUMPS/3. Series/Danny Phantom")</f>
        <v>DriveAnon's 4chan Drive/2. EVERYONE ELSE'S JUMPS/3. Series/Danny Phantom</v>
      </c>
    </row>
    <row r="65">
      <c r="A65" s="12" t="str">
        <f>HYPERLINK("https://drive.google.com/file/d/1u3wP-5_oK8XISIORYLcdfpgD8jjKrIZu/view?usp=drivesdk","Danny Phantom JumpChain.pdf")</f>
        <v>Danny Phantom JumpChain.pdf</v>
      </c>
      <c r="B65" s="12" t="str">
        <f t="shared" si="16"/>
        <v>DriveAnon's 4chan Drive/2. EVERYONE ELSE'S JUMPS/3. Series/Danny Phantom</v>
      </c>
    </row>
    <row r="66">
      <c r="A66" s="12" t="str">
        <f>HYPERLINK("https://drive.google.com/file/d/1k5mZcebV6-k_nCxI7HVJAqpTR-4fh3Zk/view?usp=drivesdk","Omori Headspace.pdf")</f>
        <v>Omori Headspace.pdf</v>
      </c>
      <c r="B66" s="12" t="str">
        <f t="shared" ref="B66:B67" si="17">HYPERLINK("https://drive.google.com/drive/folders/1AW7kmRE2SAliRxYsSYuap0IAZXJe3atC","DriveAnon's 4chan Drive/2. EVERYONE ELSE'S JUMPS/3. Series/OMORI")</f>
        <v>DriveAnon's 4chan Drive/2. EVERYONE ELSE'S JUMPS/3. Series/OMORI</v>
      </c>
    </row>
    <row r="67">
      <c r="A67" s="12" t="str">
        <f>HYPERLINK("https://drive.google.com/file/d/1RokawpN0XGurdmE_k3VqSdkXBgqSEFlT/view?usp=drivesdk","OMORI Faraway.pdf")</f>
        <v>OMORI Faraway.pdf</v>
      </c>
      <c r="B67" s="12" t="str">
        <f t="shared" si="17"/>
        <v>DriveAnon's 4chan Drive/2. EVERYONE ELSE'S JUMPS/3. Series/OMORI</v>
      </c>
    </row>
    <row r="68">
      <c r="A68" s="12" t="str">
        <f>HYPERLINK("https://drive.google.com/file/d/1Bf8c1ziZUFbYTPzoVakjnAWBDFAA29o_/view?usp=drivesdk","Dragon Quest 3.pdf")</f>
        <v>Dragon Quest 3.pdf</v>
      </c>
      <c r="B68" s="12" t="str">
        <f t="shared" ref="B68:B70" si="18">HYPERLINK("https://drive.google.com/drive/folders/1hJ8fpLQd6IJhTCoKLyhFe6zkkyzkJjuN","DriveAnon's 4chan Drive/2. EVERYONE ELSE'S JUMPS/3. Series/Dragon Quest")</f>
        <v>DriveAnon's 4chan Drive/2. EVERYONE ELSE'S JUMPS/3. Series/Dragon Quest</v>
      </c>
    </row>
    <row r="69">
      <c r="A69" s="12" t="str">
        <f>HYPERLINK("https://drive.google.com/file/d/13uYKnCrxy4Iz4q4NiLMR4V-GbLsCTrqv/view?usp=drivesdk","Dragon Quest 1-2.pdf")</f>
        <v>Dragon Quest 1-2.pdf</v>
      </c>
      <c r="B69" s="12" t="str">
        <f t="shared" si="18"/>
        <v>DriveAnon's 4chan Drive/2. EVERYONE ELSE'S JUMPS/3. Series/Dragon Quest</v>
      </c>
    </row>
    <row r="70">
      <c r="A70" s="12" t="str">
        <f>HYPERLINK("https://drive.google.com/file/d/1lr3-wKVrWZJG7KtsRw6GrGDNiCGA1a-i/view?usp=drivesdk","Dragon Quest IX-Sentinel of the Starry Skies JumpChain.pdf")</f>
        <v>Dragon Quest IX-Sentinel of the Starry Skies JumpChain.pdf</v>
      </c>
      <c r="B70" s="12" t="str">
        <f t="shared" si="18"/>
        <v>DriveAnon's 4chan Drive/2. EVERYONE ELSE'S JUMPS/3. Series/Dragon Quest</v>
      </c>
    </row>
    <row r="71">
      <c r="A71" s="12" t="str">
        <f>HYPERLINK("https://drive.google.com/file/d/1DaJxHkQdOv-lUabXaHWOhnTjyZcZKh8F/view?usp=drivesdk","Darkstalkers - Resurrection (By Valeria).pdf")</f>
        <v>Darkstalkers - Resurrection (By Valeria).pdf</v>
      </c>
      <c r="B71" s="12" t="str">
        <f t="shared" ref="B71:B72" si="19">HYPERLINK("https://drive.google.com/drive/folders/1jmlF8_sJc-WKp_FWkG_lyTRohjSbtS-1","DriveAnon's 4chan Drive/2. EVERYONE ELSE'S JUMPS/3. Series/Darkstalkers")</f>
        <v>DriveAnon's 4chan Drive/2. EVERYONE ELSE'S JUMPS/3. Series/Darkstalkers</v>
      </c>
    </row>
    <row r="72">
      <c r="A72" s="12" t="str">
        <f>HYPERLINK("https://drive.google.com/file/d/1N6jdMjWtZpRnmXL_Ox_VhyyzY63lY9qk/view?usp=drivesdk","Darkstalkers JumpChain.pdf")</f>
        <v>Darkstalkers JumpChain.pdf</v>
      </c>
      <c r="B72" s="12" t="str">
        <f t="shared" si="19"/>
        <v>DriveAnon's 4chan Drive/2. EVERYONE ELSE'S JUMPS/3. Series/Darkstalkers</v>
      </c>
    </row>
    <row r="73">
      <c r="A73" s="12" t="str">
        <f>HYPERLINK("https://drive.google.com/file/d/1s0P_7tZlqQ-u1cf5FLx-blX9Wjd6Ntwm/view?usp=drivesdk","Fairy Tail (By Valeria).pdf")</f>
        <v>Fairy Tail (By Valeria).pdf</v>
      </c>
      <c r="B73" s="12" t="str">
        <f t="shared" ref="B73:B74" si="20">HYPERLINK("https://drive.google.com/drive/folders/1RuQCQPd0q-8mGx9U58aQguw5IFrJoUHG","DriveAnon's 4chan Drive/2. EVERYONE ELSE'S JUMPS/3. Series/Fairy Tail")</f>
        <v>DriveAnon's 4chan Drive/2. EVERYONE ELSE'S JUMPS/3. Series/Fairy Tail</v>
      </c>
    </row>
    <row r="74">
      <c r="A74" s="12" t="str">
        <f>HYPERLINK("https://drive.google.com/file/d/1UP3iXlsq4VJ2-cDoVtVCnGD40hHSRWiX/view?usp=drivesdk","Fairy Tail JumpChain.pdf")</f>
        <v>Fairy Tail JumpChain.pdf</v>
      </c>
      <c r="B74" s="12" t="str">
        <f t="shared" si="20"/>
        <v>DriveAnon's 4chan Drive/2. EVERYONE ELSE'S JUMPS/3. Series/Fairy Tail</v>
      </c>
    </row>
    <row r="75">
      <c r="A75" s="12" t="str">
        <f>HYPERLINK("https://drive.google.com/file/d/1H15cj5wr-P98mdCMFjK83ZplcTO8SvCI/view?usp=drivesdk","Gods of Blood and Powder.pdf")</f>
        <v>Gods of Blood and Powder.pdf</v>
      </c>
      <c r="B75" s="12" t="str">
        <f t="shared" ref="B75:B76" si="21">HYPERLINK("https://drive.google.com/drive/folders/198Z9wch3luM6c3jmcCvP-gvO5j4iifqp","DriveAnon's 4chan Drive/2. EVERYONE ELSE'S JUMPS/3. Series/Powder Mage")</f>
        <v>DriveAnon's 4chan Drive/2. EVERYONE ELSE'S JUMPS/3. Series/Powder Mage</v>
      </c>
    </row>
    <row r="76">
      <c r="A76" s="12" t="str">
        <f>HYPERLINK("https://drive.google.com/file/d/1k5yeqIc74i-66ajfr07tDCmxBIJ5Q_0K/view?usp=drivesdk","Powder Mage.pdf")</f>
        <v>Powder Mage.pdf</v>
      </c>
      <c r="B76" s="12" t="str">
        <f t="shared" si="21"/>
        <v>DriveAnon's 4chan Drive/2. EVERYONE ELSE'S JUMPS/3. Series/Powder Mage</v>
      </c>
    </row>
    <row r="77">
      <c r="A77" s="12" t="str">
        <f>HYPERLINK("https://drive.google.com/file/d/1ARA7zQi2ByyT3Y_nXP5f8-ei59BiKIbU/view?usp=drivesdk","Shadow of the Demon Lord - Mortals of Urth.pdf")</f>
        <v>Shadow of the Demon Lord - Mortals of Urth.pdf</v>
      </c>
      <c r="B77" s="12" t="str">
        <f t="shared" ref="B77:B78" si="22">HYPERLINK("https://drive.google.com/drive/folders/1Zhu7tbcIGVIwZAQvGkFbGFobjGZVFrh1","DriveAnon's 4chan Drive/2. EVERYONE ELSE'S JUMPS/3. Series/Shadow Of The Demon Lord")</f>
        <v>DriveAnon's 4chan Drive/2. EVERYONE ELSE'S JUMPS/3. Series/Shadow Of The Demon Lord</v>
      </c>
    </row>
    <row r="78">
      <c r="A78" s="12" t="str">
        <f>HYPERLINK("https://drive.google.com/file/d/1ieGhzJgZ_zkBpplQy_gJXL4bhWCGCiRH/view?usp=drivesdk","Shadow of the Demon Lord - Magic Supplement.pdf")</f>
        <v>Shadow of the Demon Lord - Magic Supplement.pdf</v>
      </c>
      <c r="B78" s="12" t="str">
        <f t="shared" si="22"/>
        <v>DriveAnon's 4chan Drive/2. EVERYONE ELSE'S JUMPS/3. Series/Shadow Of The Demon Lord</v>
      </c>
    </row>
    <row r="79">
      <c r="A79" s="12" t="str">
        <f>HYPERLINK("https://drive.google.com/file/d/1YyG2k7uBKkIA0zGMrFO1pAFJPQN6CPOv/view?usp=drivesdk","Daughters Of Khaine.pdf")</f>
        <v>Daughters Of Khaine.pdf</v>
      </c>
      <c r="B79" s="12" t="str">
        <f>HYPERLINK("https://drive.google.com/drive/folders/16dCtcSkz4ejBObF9H8lOS_LTg950VztL","DriveAnon's 4chan Drive/2. EVERYONE ELSE'S JUMPS/3. Series/Warhammer Age Of Sigmar")</f>
        <v>DriveAnon's 4chan Drive/2. EVERYONE ELSE'S JUMPS/3. Series/Warhammer Age Of Sigmar</v>
      </c>
    </row>
    <row r="80">
      <c r="A80" s="12" t="str">
        <f>HYPERLINK("https://drive.google.com/file/d/1p4AvyeuECyDHj187buyjo9GF2K9Kigku/view?usp=drivesdk","Dark Cloud 2 JumpChain.pdf")</f>
        <v>Dark Cloud 2 JumpChain.pdf</v>
      </c>
      <c r="B80" s="12" t="str">
        <f t="shared" ref="B80:B81" si="23">HYPERLINK("https://drive.google.com/drive/folders/18AUFS0JSflFYm1OwgdTA-G9l-fke9uMg","DriveAnon's 4chan Drive/2. EVERYONE ELSE'S JUMPS/3. Series/Dark Cloud")</f>
        <v>DriveAnon's 4chan Drive/2. EVERYONE ELSE'S JUMPS/3. Series/Dark Cloud</v>
      </c>
    </row>
    <row r="81">
      <c r="A81" s="12" t="str">
        <f>HYPERLINK("https://drive.google.com/file/d/1PjRA_LtVFWWfkUqQJf1zdHGl_aN7q2kQ/view?usp=drivesdk","Dark Cloud JumpChain.pdf")</f>
        <v>Dark Cloud JumpChain.pdf</v>
      </c>
      <c r="B81" s="12" t="str">
        <f t="shared" si="23"/>
        <v>DriveAnon's 4chan Drive/2. EVERYONE ELSE'S JUMPS/3. Series/Dark Cloud</v>
      </c>
    </row>
    <row r="82">
      <c r="A82" s="12" t="str">
        <f>HYPERLINK("https://drive.google.com/file/d/1AsFPGncVcgPLUhMXCB5AXbvEBJAfJ8ia/view?usp=drivesdk","Darkest Dungeon Gauntlet.pdf")</f>
        <v>Darkest Dungeon Gauntlet.pdf</v>
      </c>
      <c r="B82" s="12" t="str">
        <f t="shared" ref="B82:B83" si="24">HYPERLINK("https://drive.google.com/drive/folders/1aP9vFbr1KuX9NMFAlj0fgpgRpJho19N4","DriveAnon's 4chan Drive/2. EVERYONE ELSE'S JUMPS/3. Series/Darkest Dungeon")</f>
        <v>DriveAnon's 4chan Drive/2. EVERYONE ELSE'S JUMPS/3. Series/Darkest Dungeon</v>
      </c>
    </row>
    <row r="83">
      <c r="A83" s="12" t="str">
        <f>HYPERLINK("https://drive.google.com/file/d/1w0bTHKkxSn83Ue8PdMVs5CFC4EzAuUBY/view?usp=drivesdk","Darkest Dungeon.pdf")</f>
        <v>Darkest Dungeon.pdf</v>
      </c>
      <c r="B83" s="12" t="str">
        <f t="shared" si="24"/>
        <v>DriveAnon's 4chan Drive/2. EVERYONE ELSE'S JUMPS/3. Series/Darkest Dungeon</v>
      </c>
    </row>
    <row r="84">
      <c r="A84" s="12" t="str">
        <f>HYPERLINK("https://drive.google.com/file/d/1Fbw9GLB1J9pNflc479X4YixJJRzQjgQB/view?usp=drivesdk","Peter Pan.pdf")</f>
        <v>Peter Pan.pdf</v>
      </c>
      <c r="B84" s="12" t="str">
        <f t="shared" ref="B84:B85" si="25">HYPERLINK("https://drive.google.com/drive/folders/1RPGlYn_unK2ur_xXUIg9HDzGWFbxePi5","DriveAnon's 4chan Drive/2. EVERYONE ELSE'S JUMPS/3. Series/Peter Pan")</f>
        <v>DriveAnon's 4chan Drive/2. EVERYONE ELSE'S JUMPS/3. Series/Peter Pan</v>
      </c>
    </row>
    <row r="85">
      <c r="A85" s="12" t="str">
        <f>HYPERLINK("https://drive.google.com/file/d/18jpPQeO1It34TJtW54goOx98RUmxSzR5/view?usp=drivesdk","Neverland - A Fantasy Role-Playing Setting.pdf")</f>
        <v>Neverland - A Fantasy Role-Playing Setting.pdf</v>
      </c>
      <c r="B85" s="12" t="str">
        <f t="shared" si="25"/>
        <v>DriveAnon's 4chan Drive/2. EVERYONE ELSE'S JUMPS/3. Series/Peter Pan</v>
      </c>
    </row>
    <row r="86">
      <c r="A86" s="12" t="str">
        <f>HYPERLINK("https://drive.google.com/file/d/1hrTgtGpTXz1jaqX9AXMB2GlB8CyIRFjP/view?usp=drivesdk","Van Helsing (By Valeria).pdf")</f>
        <v>Van Helsing (By Valeria).pdf</v>
      </c>
      <c r="B86" s="12" t="str">
        <f t="shared" ref="B86:B87" si="26">HYPERLINK("https://drive.google.com/drive/folders/1vigQmpZ0iOFv48VJ891tfTO2JL5oQmFE","DriveAnon's 4chan Drive/2. EVERYONE ELSE'S JUMPS/3. Series/Van Helsing")</f>
        <v>DriveAnon's 4chan Drive/2. EVERYONE ELSE'S JUMPS/3. Series/Van Helsing</v>
      </c>
    </row>
    <row r="87">
      <c r="A87" s="12" t="str">
        <f>HYPERLINK("https://drive.google.com/file/d/143ZOgvsZ8_spHWtRrGBxXvVR1rzVukVv/view?usp=drivesdk","Van Helsing JumpChain.pdf")</f>
        <v>Van Helsing JumpChain.pdf</v>
      </c>
      <c r="B87" s="12" t="str">
        <f t="shared" si="26"/>
        <v>DriveAnon's 4chan Drive/2. EVERYONE ELSE'S JUMPS/3. Series/Van Helsing</v>
      </c>
    </row>
    <row r="88">
      <c r="A88" s="12" t="str">
        <f>HYPERLINK("https://drive.google.com/file/d/1B0cq7wVLxi2NrjnTtmqNUI1ptz1QIqy5/view?usp=drivesdk","Xenoblade Chronicles 2.pdf")</f>
        <v>Xenoblade Chronicles 2.pdf</v>
      </c>
      <c r="B88" s="12" t="str">
        <f t="shared" ref="B88:B90" si="27">HYPERLINK("https://drive.google.com/drive/folders/1_tXCqU6y0G84ZnT24h4xnbyyQilK8oXa","DriveAnon's 4chan Drive/2. EVERYONE ELSE'S JUMPS/3. Series/Xenoblade")</f>
        <v>DriveAnon's 4chan Drive/2. EVERYONE ELSE'S JUMPS/3. Series/Xenoblade</v>
      </c>
    </row>
    <row r="89">
      <c r="A89" s="12" t="str">
        <f>HYPERLINK("https://drive.google.com/file/d/1E4yU91tU1WXJ6kKAFvbxyehFEDmMYWOE/view?usp=drivesdk","Xenoblade Chronicles X JumpChain.pdf")</f>
        <v>Xenoblade Chronicles X JumpChain.pdf</v>
      </c>
      <c r="B89" s="12" t="str">
        <f t="shared" si="27"/>
        <v>DriveAnon's 4chan Drive/2. EVERYONE ELSE'S JUMPS/3. Series/Xenoblade</v>
      </c>
    </row>
    <row r="90">
      <c r="A90" s="12" t="str">
        <f>HYPERLINK("https://drive.google.com/file/d/1oECImbzPAp5PaJcTmT_n4kcdc85hlxTD/view?usp=drivesdk","Xenoblade Chronicles JumpChain.pdf")</f>
        <v>Xenoblade Chronicles JumpChain.pdf</v>
      </c>
      <c r="B90" s="12" t="str">
        <f t="shared" si="27"/>
        <v>DriveAnon's 4chan Drive/2. EVERYONE ELSE'S JUMPS/3. Series/Xenoblade</v>
      </c>
    </row>
    <row r="91">
      <c r="A91" s="12" t="str">
        <f>HYPERLINK("https://drive.google.com/file/d/1AZ_vkRoYhjgJd827s1iuZITkZMOgi59q/view?usp=drivesdk","Casper's Haunted Christmas.pdf")</f>
        <v>Casper's Haunted Christmas.pdf</v>
      </c>
      <c r="B91" s="12" t="str">
        <f t="shared" ref="B91:B93" si="28">HYPERLINK("https://drive.google.com/drive/folders/1LJrIiucawge1OD0P4XpYYueSsr5xuK5W","DriveAnon's 4chan Drive/2. EVERYONE ELSE'S JUMPS/3. Series/Casper")</f>
        <v>DriveAnon's 4chan Drive/2. EVERYONE ELSE'S JUMPS/3. Series/Casper</v>
      </c>
    </row>
    <row r="92">
      <c r="A92" s="12" t="str">
        <f>HYPERLINK("https://drive.google.com/file/d/1em5INcliWlQNkN-KCzO68mj52wc69Omd/view?usp=drivesdk","Casper (Fox Films).pdf")</f>
        <v>Casper (Fox Films).pdf</v>
      </c>
      <c r="B92" s="12" t="str">
        <f t="shared" si="28"/>
        <v>DriveAnon's 4chan Drive/2. EVERYONE ELSE'S JUMPS/3. Series/Casper</v>
      </c>
    </row>
    <row r="93">
      <c r="A93" s="12" t="str">
        <f>HYPERLINK("https://drive.google.com/file/d/1MR1gj5Q5U5JrOyvkYnRhzoY9Kp5Y5H4I/view?usp=drivesdk","Casper (1995).pdf")</f>
        <v>Casper (1995).pdf</v>
      </c>
      <c r="B93" s="12" t="str">
        <f t="shared" si="28"/>
        <v>DriveAnon's 4chan Drive/2. EVERYONE ELSE'S JUMPS/3. Series/Casper</v>
      </c>
    </row>
    <row r="94">
      <c r="A94" s="12" t="str">
        <f>HYPERLINK("https://drive.google.com/file/d/1nUGy3T0xbxVPJBq9oPBhxA6FwYAvHrPP/view?usp=drivesdk","Hellsing.pdf")</f>
        <v>Hellsing.pdf</v>
      </c>
      <c r="B94" s="12" t="str">
        <f t="shared" ref="B94:B95" si="29">HYPERLINK("https://drive.google.com/drive/folders/1OdgrnT_HtU23rcHD7VzeB3ninPTL0UnP","DriveAnon's 4chan Drive/2. EVERYONE ELSE'S JUMPS/3. Series/Hellsing")</f>
        <v>DriveAnon's 4chan Drive/2. EVERYONE ELSE'S JUMPS/3. Series/Hellsing</v>
      </c>
    </row>
    <row r="95">
      <c r="A95" s="12" t="str">
        <f>HYPERLINK("https://drive.google.com/file/d/191gIHN06ChF5DWZ1JLBEtl-33mRgVj-d/view?usp=drivesdk","Hellsing (By Valeria).pdf")</f>
        <v>Hellsing (By Valeria).pdf</v>
      </c>
      <c r="B95" s="12" t="str">
        <f t="shared" si="29"/>
        <v>DriveAnon's 4chan Drive/2. EVERYONE ELSE'S JUMPS/3. Series/Hellsing</v>
      </c>
    </row>
    <row r="96">
      <c r="A96" s="12" t="str">
        <f>HYPERLINK("https://drive.google.com/file/d/10QSeJ2wcVmwXCYcOVi9-_U7hcilcTTir/view?usp=drivesdk","Ben 10 (By HeavensAnon).pdf")</f>
        <v>Ben 10 (By HeavensAnon).pdf</v>
      </c>
      <c r="B96" s="12" t="str">
        <f t="shared" ref="B96:B97" si="30">HYPERLINK("https://drive.google.com/drive/folders/1Hf6bw6lp0CV7VdQaDa5u3leCdLCc6bU4","DriveAnon's 4chan Drive/2. EVERYONE ELSE'S JUMPS/3. Series/Ben 10")</f>
        <v>DriveAnon's 4chan Drive/2. EVERYONE ELSE'S JUMPS/3. Series/Ben 10</v>
      </c>
    </row>
    <row r="97">
      <c r="A97" s="12" t="str">
        <f>HYPERLINK("https://drive.google.com/file/d/1GkYxNXVoc0X92kYIdJIzSAhgKKwqAt8f/view?usp=drivesdk","Ben 10 JumpChain.pdf")</f>
        <v>Ben 10 JumpChain.pdf</v>
      </c>
      <c r="B97" s="12" t="str">
        <f t="shared" si="30"/>
        <v>DriveAnon's 4chan Drive/2. EVERYONE ELSE'S JUMPS/3. Series/Ben 10</v>
      </c>
    </row>
    <row r="98">
      <c r="A98" s="12" t="str">
        <f>HYPERLINK("https://drive.google.com/file/d/1AKEFy6ctah5DNOjUNW_aYOXYHIDyRrSH/view?usp=drivesdk","Heisei Super Sentai Part 1 (Zyuranger-Carranger) JumpChain.pdf")</f>
        <v>Heisei Super Sentai Part 1 (Zyuranger-Carranger) JumpChain.pdf</v>
      </c>
      <c r="B98" s="12" t="str">
        <f t="shared" ref="B98:B105" si="31">HYPERLINK("https://drive.google.com/drive/folders/1O1rzZGpCKSQAwblBImc69ZXPPT-U7sIN","DriveAnon's 4chan Drive/2. EVERYONE ELSE'S JUMPS/3. Series/Super Sentai")</f>
        <v>DriveAnon's 4chan Drive/2. EVERYONE ELSE'S JUMPS/3. Series/Super Sentai</v>
      </c>
    </row>
    <row r="99">
      <c r="A99" s="12" t="str">
        <f>HYPERLINK("https://drive.google.com/file/d/1H166jNS84ICU_OX55Gp4bovi8HbWZRX6/view?usp=drivesdk","Super Sentai Part 1 (Gorenger - Bioman) JumpChain.pdf")</f>
        <v>Super Sentai Part 1 (Gorenger - Bioman) JumpChain.pdf</v>
      </c>
      <c r="B99" s="12" t="str">
        <f t="shared" si="31"/>
        <v>DriveAnon's 4chan Drive/2. EVERYONE ELSE'S JUMPS/3. Series/Super Sentai</v>
      </c>
    </row>
    <row r="100">
      <c r="A100" s="12" t="str">
        <f>HYPERLINK("https://drive.google.com/file/d/1L3mwRbqvQVEOm4MKUu6nwQFzrW1BNSSJ/view?usp=drivesdk","Super Sentai - Dekaranger - JumpChain.pdf")</f>
        <v>Super Sentai - Dekaranger - JumpChain.pdf</v>
      </c>
      <c r="B100" s="12" t="str">
        <f t="shared" si="31"/>
        <v>DriveAnon's 4chan Drive/2. EVERYONE ELSE'S JUMPS/3. Series/Super Sentai</v>
      </c>
    </row>
    <row r="101">
      <c r="A101" s="12" t="str">
        <f>HYPERLINK("https://drive.google.com/file/d/1L8cW8d-a988jwtmspvwYhO9ftlSoUXxG/view?usp=drivesdk","Super Sentai - Gokaiger - JumpChain.pdf")</f>
        <v>Super Sentai - Gokaiger - JumpChain.pdf</v>
      </c>
      <c r="B101" s="12" t="str">
        <f t="shared" si="31"/>
        <v>DriveAnon's 4chan Drive/2. EVERYONE ELSE'S JUMPS/3. Series/Super Sentai</v>
      </c>
    </row>
    <row r="102">
      <c r="A102" s="12" t="str">
        <f>HYPERLINK("https://drive.google.com/file/d/1QNXOHWkhsoW71yTkfKXft09Tw_wn-cYR/view?usp=drivesdk","Super Sentai Part 2 (Changeman-Jetman).pdf")</f>
        <v>Super Sentai Part 2 (Changeman-Jetman).pdf</v>
      </c>
      <c r="B102" s="12" t="str">
        <f t="shared" si="31"/>
        <v>DriveAnon's 4chan Drive/2. EVERYONE ELSE'S JUMPS/3. Series/Super Sentai</v>
      </c>
    </row>
    <row r="103">
      <c r="A103" s="12" t="str">
        <f>HYPERLINK("https://drive.google.com/file/d/1bLrt71qVYhuN-miMy_h64qma-Qxg_UWJ/view?usp=drivesdk","Heisei Super Sentai Part 2 (Megaranger-Timeranger) JumpChain.pdf")</f>
        <v>Heisei Super Sentai Part 2 (Megaranger-Timeranger) JumpChain.pdf</v>
      </c>
      <c r="B103" s="12" t="str">
        <f t="shared" si="31"/>
        <v>DriveAnon's 4chan Drive/2. EVERYONE ELSE'S JUMPS/3. Series/Super Sentai</v>
      </c>
    </row>
    <row r="104">
      <c r="A104" s="12" t="str">
        <f>HYPERLINK("https://drive.google.com/file/d/1rYSVUn2K8l_vnFa3p1ejSr3r4ACJKjJM/view?usp=drivesdk","Super Sentai - Kyuranger - JumpChain.pdf")</f>
        <v>Super Sentai - Kyuranger - JumpChain.pdf</v>
      </c>
      <c r="B104" s="12" t="str">
        <f t="shared" si="31"/>
        <v>DriveAnon's 4chan Drive/2. EVERYONE ELSE'S JUMPS/3. Series/Super Sentai</v>
      </c>
    </row>
    <row r="105">
      <c r="A105" s="12" t="str">
        <f>HYPERLINK("https://drive.google.com/file/d/1ywZU8wxtVyBOYtFV4d0MwtOBzvVSF239/view?usp=drivesdk","Heisei Super Sentai Part 3 (Gaoranger-Abaranger) JumpChain.pdf")</f>
        <v>Heisei Super Sentai Part 3 (Gaoranger-Abaranger) JumpChain.pdf</v>
      </c>
      <c r="B105" s="12" t="str">
        <f t="shared" si="31"/>
        <v>DriveAnon's 4chan Drive/2. EVERYONE ELSE'S JUMPS/3. Series/Super Sentai</v>
      </c>
    </row>
    <row r="106">
      <c r="A106" s="12" t="str">
        <f>HYPERLINK("https://drive.google.com/file/d/1cNxN5wENvSH85wUS1kP4mnQPsvxMNg_q/view?usp=drivesdk","nWoD - Princess, The Hopeful.pdf")</f>
        <v>nWoD - Princess, The Hopeful.pdf</v>
      </c>
      <c r="B106" s="12" t="str">
        <f t="shared" ref="B106:B119" si="32">HYPERLINK("https://drive.google.com/drive/folders/1BykcnYLPMNE5jJzmzSyW9pkjeYtv2xVA","DriveAnon's 4chan Drive/2. EVERYONE ELSE'S JUMPS/3. Series/World of Darkness")</f>
        <v>DriveAnon's 4chan Drive/2. EVERYONE ELSE'S JUMPS/3. Series/World of Darkness</v>
      </c>
    </row>
    <row r="107">
      <c r="A107" s="12" t="str">
        <f>HYPERLINK("https://drive.google.com/file/d/1VrrU4gdExVfzgPQFxjkGPZ1IbxXm2YaC/view?usp=drivesdk","nWoD - Archmage.pdf")</f>
        <v>nWoD - Archmage.pdf</v>
      </c>
      <c r="B107" s="12" t="str">
        <f t="shared" si="32"/>
        <v>DriveAnon's 4chan Drive/2. EVERYONE ELSE'S JUMPS/3. Series/World of Darkness</v>
      </c>
    </row>
    <row r="108">
      <c r="A108" s="12" t="str">
        <f>HYPERLINK("https://drive.google.com/file/d/13k4Hfq0gEovNaLdVweJUJnq2KMoBh7SE/view?usp=drivesdk","nWoD - The Sundered World.pdf")</f>
        <v>nWoD - The Sundered World.pdf</v>
      </c>
      <c r="B108" s="12" t="str">
        <f t="shared" si="32"/>
        <v>DriveAnon's 4chan Drive/2. EVERYONE ELSE'S JUMPS/3. Series/World of Darkness</v>
      </c>
    </row>
    <row r="109">
      <c r="A109" s="12" t="str">
        <f>HYPERLINK("https://drive.google.com/file/d/1Fg0mz-fOhVYdBc54HUNJw-S-o9wZxK5a/view?usp=drivesdk","World of Darkness- Kindred of the East JumpChain.pdf")</f>
        <v>World of Darkness- Kindred of the East JumpChain.pdf</v>
      </c>
      <c r="B109" s="12" t="str">
        <f t="shared" si="32"/>
        <v>DriveAnon's 4chan Drive/2. EVERYONE ELSE'S JUMPS/3. Series/World of Darkness</v>
      </c>
    </row>
    <row r="110">
      <c r="A110" s="12" t="str">
        <f>HYPERLINK("https://drive.google.com/file/d/1MNISIRkx1Urs6-gcYdcjPpiIeJ4LxJK0/view?usp=drivesdk","Leviathan The Tempest.pdf")</f>
        <v>Leviathan The Tempest.pdf</v>
      </c>
      <c r="B110" s="12" t="str">
        <f t="shared" si="32"/>
        <v>DriveAnon's 4chan Drive/2. EVERYONE ELSE'S JUMPS/3. Series/World of Darkness</v>
      </c>
    </row>
    <row r="111">
      <c r="A111" s="12" t="str">
        <f>HYPERLINK("https://drive.google.com/file/d/1OqUYebUDoRltwNQCkAVhQzz64tVj1HEP/view?usp=drivesdk","Vampire the Requiem JumpChain.pdf")</f>
        <v>Vampire the Requiem JumpChain.pdf</v>
      </c>
      <c r="B111" s="12" t="str">
        <f t="shared" si="32"/>
        <v>DriveAnon's 4chan Drive/2. EVERYONE ELSE'S JUMPS/3. Series/World of Darkness</v>
      </c>
    </row>
    <row r="112">
      <c r="A112" s="12" t="str">
        <f>HYPERLINK("https://drive.google.com/file/d/1WFkkPF2wTUVxu2xjh64cF6zkPyeFi1bw/view?usp=drivesdk","World Of Darkness- Werewolf The Apocalypse JumpChain.pdf")</f>
        <v>World Of Darkness- Werewolf The Apocalypse JumpChain.pdf</v>
      </c>
      <c r="B112" s="12" t="str">
        <f t="shared" si="32"/>
        <v>DriveAnon's 4chan Drive/2. EVERYONE ELSE'S JUMPS/3. Series/World of Darkness</v>
      </c>
    </row>
    <row r="113">
      <c r="A113" s="12" t="str">
        <f>HYPERLINK("https://drive.google.com/file/d/1YK92LU3fyIBnSqXtuHoaPxkBc31xPfYj/view?usp=drivesdk","Changeling the Lost JumpChain.pdf")</f>
        <v>Changeling the Lost JumpChain.pdf</v>
      </c>
      <c r="B113" s="12" t="str">
        <f t="shared" si="32"/>
        <v>DriveAnon's 4chan Drive/2. EVERYONE ELSE'S JUMPS/3. Series/World of Darkness</v>
      </c>
    </row>
    <row r="114">
      <c r="A114" s="12" t="str">
        <f>HYPERLINK("https://drive.google.com/file/d/1cAq0-M-4Vq9zizkziEv_2z7CiOt3zNj0/view?usp=drivesdk","World of Darkness- Mummy JumpChain.pdf")</f>
        <v>World of Darkness- Mummy JumpChain.pdf</v>
      </c>
      <c r="B114" s="12" t="str">
        <f t="shared" si="32"/>
        <v>DriveAnon's 4chan Drive/2. EVERYONE ELSE'S JUMPS/3. Series/World of Darkness</v>
      </c>
    </row>
    <row r="115">
      <c r="A115" s="12" t="str">
        <f>HYPERLINK("https://drive.google.com/file/d/1gJHAJDR69tjnnAS3V3wgRKxDt3XWuR_g/view?usp=drivesdk","World of Darkness- Mortal.pdf")</f>
        <v>World of Darkness- Mortal.pdf</v>
      </c>
      <c r="B115" s="12" t="str">
        <f t="shared" si="32"/>
        <v>DriveAnon's 4chan Drive/2. EVERYONE ELSE'S JUMPS/3. Series/World of Darkness</v>
      </c>
    </row>
    <row r="116">
      <c r="A116" s="12" t="str">
        <f>HYPERLINK("https://drive.google.com/file/d/1gyxcHJfVkLbDcMzF9GvvKLcG5shR436e/view?usp=drivesdk","WoD - Genius the Transgression JumpChain.pdf")</f>
        <v>WoD - Genius the Transgression JumpChain.pdf</v>
      </c>
      <c r="B116" s="12" t="str">
        <f t="shared" si="32"/>
        <v>DriveAnon's 4chan Drive/2. EVERYONE ELSE'S JUMPS/3. Series/World of Darkness</v>
      </c>
    </row>
    <row r="117">
      <c r="A117" s="12" t="str">
        <f>HYPERLINK("https://drive.google.com/file/d/1rCaib9qunL2rsxck6bKyBTai7glfdTAq/view?usp=drivesdk","World Of Darkness- Demon The Fallen JumpChain.pdf")</f>
        <v>World Of Darkness- Demon The Fallen JumpChain.pdf</v>
      </c>
      <c r="B117" s="12" t="str">
        <f t="shared" si="32"/>
        <v>DriveAnon's 4chan Drive/2. EVERYONE ELSE'S JUMPS/3. Series/World of Darkness</v>
      </c>
    </row>
    <row r="118">
      <c r="A118" s="12" t="str">
        <f>HYPERLINK("https://drive.google.com/file/d/1rdPW3mjEqOCdocXghWhFPoGqnu5t9p3J/view?usp=drivesdk","Vampire the Masquerade-Bloodlines JumpChain.pdf")</f>
        <v>Vampire the Masquerade-Bloodlines JumpChain.pdf</v>
      </c>
      <c r="B118" s="12" t="str">
        <f t="shared" si="32"/>
        <v>DriveAnon's 4chan Drive/2. EVERYONE ELSE'S JUMPS/3. Series/World of Darkness</v>
      </c>
    </row>
    <row r="119">
      <c r="A119" s="12" t="str">
        <f>HYPERLINK("https://drive.google.com/file/d/1x6BoMo4reEhRXg365AKlBHvg5wdGmJoP/view?usp=drivesdk","Mage The Awakening 1st edition Jumpchain.pdf")</f>
        <v>Mage The Awakening 1st edition Jumpchain.pdf</v>
      </c>
      <c r="B119" s="12" t="str">
        <f t="shared" si="32"/>
        <v>DriveAnon's 4chan Drive/2. EVERYONE ELSE'S JUMPS/3. Series/World of Darkness</v>
      </c>
    </row>
    <row r="120">
      <c r="A120" s="12" t="str">
        <f>HYPERLINK("https://drive.google.com/file/d/1XNQ9xgbhTCqgWqmRIsjW6NHnHlAO1f4-/view?usp=drivesdk","Drakengard Two.pdf")</f>
        <v>Drakengard Two.pdf</v>
      </c>
      <c r="B120" s="12" t="str">
        <f t="shared" ref="B120:B125" si="33">HYPERLINK("https://drive.google.com/drive/folders/1IWNLxxIa4imMsvKIcPQTzYiMPDGP0SOb","DriveAnon's 4chan Drive/2. EVERYONE ELSE'S JUMPS/3. Series/Yoko Taro Series")</f>
        <v>DriveAnon's 4chan Drive/2. EVERYONE ELSE'S JUMPS/3. Series/Yoko Taro Series</v>
      </c>
    </row>
    <row r="121">
      <c r="A121" s="12" t="str">
        <f>HYPERLINK("https://drive.google.com/file/d/184JLal8NVAQVAKnpMpMztdDDTHvAv29U/view?usp=drivesdk","NieR Automata JumpChain.pdf")</f>
        <v>NieR Automata JumpChain.pdf</v>
      </c>
      <c r="B121" s="12" t="str">
        <f t="shared" si="33"/>
        <v>DriveAnon's 4chan Drive/2. EVERYONE ELSE'S JUMPS/3. Series/Yoko Taro Series</v>
      </c>
    </row>
    <row r="122">
      <c r="A122" s="12" t="str">
        <f>HYPERLINK("https://drive.google.com/file/d/1Q6eb_iKLV9p-Ovj04SCNB675a8Ojesfw/view?usp=drivesdk","Drakengard One JumpChain.pdf")</f>
        <v>Drakengard One JumpChain.pdf</v>
      </c>
      <c r="B122" s="12" t="str">
        <f t="shared" si="33"/>
        <v>DriveAnon's 4chan Drive/2. EVERYONE ELSE'S JUMPS/3. Series/Yoko Taro Series</v>
      </c>
    </row>
    <row r="123">
      <c r="A123" s="12" t="str">
        <f>HYPERLINK("https://drive.google.com/file/d/1cf1-gp8dAZ_tR01CmqfTc06z8IN1WuHE/view?usp=drivesdk","NieR JumpChain.pdf")</f>
        <v>NieR JumpChain.pdf</v>
      </c>
      <c r="B123" s="12" t="str">
        <f t="shared" si="33"/>
        <v>DriveAnon's 4chan Drive/2. EVERYONE ELSE'S JUMPS/3. Series/Yoko Taro Series</v>
      </c>
    </row>
    <row r="124">
      <c r="A124" s="12" t="str">
        <f>HYPERLINK("https://drive.google.com/file/d/1deKBwVRQXkyVatLz0W7Y4g8FIbAUl6E0/view?usp=drivesdk","Yoko Taro.jfif")</f>
        <v>Yoko Taro.jfif</v>
      </c>
      <c r="B124" s="12" t="str">
        <f t="shared" si="33"/>
        <v>DriveAnon's 4chan Drive/2. EVERYONE ELSE'S JUMPS/3. Series/Yoko Taro Series</v>
      </c>
    </row>
    <row r="125">
      <c r="A125" s="12" t="str">
        <f>HYPERLINK("https://drive.google.com/file/d/1stmwdBB5Sdng-r5RLsK9rHxauDKmRB7p/view?usp=drivesdk","Drakengard Jumpchain.pdf")</f>
        <v>Drakengard Jumpchain.pdf</v>
      </c>
      <c r="B125" s="12" t="str">
        <f t="shared" si="33"/>
        <v>DriveAnon's 4chan Drive/2. EVERYONE ELSE'S JUMPS/3. Series/Yoko Taro Series</v>
      </c>
    </row>
    <row r="126">
      <c r="A126" s="12" t="str">
        <f>HYPERLINK("https://drive.google.com/file/d/13g8nVzZmi5cE1oYExUrOedVJCX4Snl3w/view?usp=drivesdk","Xcom JumpChain.pdf")</f>
        <v>Xcom JumpChain.pdf</v>
      </c>
      <c r="B126" s="12" t="str">
        <f t="shared" ref="B126:B127" si="34">HYPERLINK("https://drive.google.com/drive/folders/1JYnbDignRq8xOHaKdGyua1cNlBYidZxR","DriveAnon's 4chan Drive/2. EVERYONE ELSE'S JUMPS/3. Series/XCOM")</f>
        <v>DriveAnon's 4chan Drive/2. EVERYONE ELSE'S JUMPS/3. Series/XCOM</v>
      </c>
    </row>
    <row r="127">
      <c r="A127" s="12" t="str">
        <f>HYPERLINK("https://drive.google.com/file/d/1BoKa2i8q5M-A57JPl9SaGMg5RQg-2AQY/view?usp=drivesdk","XCOM 2 JumpChain.pdf")</f>
        <v>XCOM 2 JumpChain.pdf</v>
      </c>
      <c r="B127" s="12" t="str">
        <f t="shared" si="34"/>
        <v>DriveAnon's 4chan Drive/2. EVERYONE ELSE'S JUMPS/3. Series/XCOM</v>
      </c>
    </row>
    <row r="128">
      <c r="A128" s="12" t="str">
        <f>HYPERLINK("https://drive.google.com/file/d/18am61QXFVxsrs5lm9CugB8af8mH3tV7q/view?usp=drivesdk","Warhammer Fantasy - Wood Elves.pdf")</f>
        <v>Warhammer Fantasy - Wood Elves.pdf</v>
      </c>
      <c r="B128" s="12" t="str">
        <f t="shared" ref="B128:B145" si="35">HYPERLINK("https://drive.google.com/drive/folders/1V-wnQC3bx3CCrcA2Lbr_XuAU9tKAyjBw","DriveAnon's 4chan Drive/2. EVERYONE ELSE'S JUMPS/3. Series/Warhammer Fantasy")</f>
        <v>DriveAnon's 4chan Drive/2. EVERYONE ELSE'S JUMPS/3. Series/Warhammer Fantasy</v>
      </c>
    </row>
    <row r="129">
      <c r="A129" s="12" t="str">
        <f>HYPERLINK("https://drive.google.com/file/d/1xNduS0XcfmhVtsLOMpPrSx4BVrvcDW82/view?usp=drivesdk","Warhammer Fantasy - High Elves.pdf")</f>
        <v>Warhammer Fantasy - High Elves.pdf</v>
      </c>
      <c r="B129" s="12" t="str">
        <f t="shared" si="35"/>
        <v>DriveAnon's 4chan Drive/2. EVERYONE ELSE'S JUMPS/3. Series/Warhammer Fantasy</v>
      </c>
    </row>
    <row r="130">
      <c r="A130" s="12" t="str">
        <f>HYPERLINK("https://drive.google.com/file/d/1RogCIy_Q5r6Sj6gDnkwUK60TYD_-i-2r/view?usp=drivesdk","Warhammer Fantasy - Dark Elves.pdf")</f>
        <v>Warhammer Fantasy - Dark Elves.pdf</v>
      </c>
      <c r="B130" s="12" t="str">
        <f t="shared" si="35"/>
        <v>DriveAnon's 4chan Drive/2. EVERYONE ELSE'S JUMPS/3. Series/Warhammer Fantasy</v>
      </c>
    </row>
    <row r="131">
      <c r="A131" s="12" t="str">
        <f>HYPERLINK("https://drive.google.com/file/d/1DP_PKjaCMDtz-EgQ0qtY5NWMY9VkIRVc/view?usp=drivesdk","Warhammer Fantasy - The Imperial Colleges Of Magic.pdf")</f>
        <v>Warhammer Fantasy - The Imperial Colleges Of Magic.pdf</v>
      </c>
      <c r="B131" s="12" t="str">
        <f t="shared" si="35"/>
        <v>DriveAnon's 4chan Drive/2. EVERYONE ELSE'S JUMPS/3. Series/Warhammer Fantasy</v>
      </c>
    </row>
    <row r="132">
      <c r="A132" s="12" t="str">
        <f>HYPERLINK("https://drive.google.com/file/d/1QovrHPM4LUBon6HvSHdt5CTXcNO9zoPr/view?usp=drivesdk","Warhammer Fantasy - Beastmen.pdf")</f>
        <v>Warhammer Fantasy - Beastmen.pdf</v>
      </c>
      <c r="B132" s="12" t="str">
        <f t="shared" si="35"/>
        <v>DriveAnon's 4chan Drive/2. EVERYONE ELSE'S JUMPS/3. Series/Warhammer Fantasy</v>
      </c>
    </row>
    <row r="133">
      <c r="A133" s="12" t="str">
        <f>HYPERLINK("https://drive.google.com/file/d/1WrHEPOBJNCoEEha4r4Nh5zJafKolUUuL/view?usp=drivesdk","Warhammer Fantasy - Halflings Of The Moot.pdf")</f>
        <v>Warhammer Fantasy - Halflings Of The Moot.pdf</v>
      </c>
      <c r="B133" s="12" t="str">
        <f t="shared" si="35"/>
        <v>DriveAnon's 4chan Drive/2. EVERYONE ELSE'S JUMPS/3. Series/Warhammer Fantasy</v>
      </c>
    </row>
    <row r="134">
      <c r="A134" s="12" t="str">
        <f>HYPERLINK("https://drive.google.com/file/d/1EPxv34GCdaG7Fz8VKs_T3n3XQ0tfRplN/view?usp=drivesdk","Warhammer Fantasy - The Skaven.pdf")</f>
        <v>Warhammer Fantasy - The Skaven.pdf</v>
      </c>
      <c r="B134" s="12" t="str">
        <f t="shared" si="35"/>
        <v>DriveAnon's 4chan Drive/2. EVERYONE ELSE'S JUMPS/3. Series/Warhammer Fantasy</v>
      </c>
    </row>
    <row r="135">
      <c r="A135" s="12" t="str">
        <f>HYPERLINK("https://drive.google.com/file/d/1-iKgR-7z7-gKUL1hViOkQXWww0-3qdt5/view?usp=drivesdk","Warhammer Fantasy - Warriors of Chaos - Warband Supplement.pdf")</f>
        <v>Warhammer Fantasy - Warriors of Chaos - Warband Supplement.pdf</v>
      </c>
      <c r="B135" s="12" t="str">
        <f t="shared" si="35"/>
        <v>DriveAnon's 4chan Drive/2. EVERYONE ELSE'S JUMPS/3. Series/Warhammer Fantasy</v>
      </c>
    </row>
    <row r="136">
      <c r="A136" s="12" t="str">
        <f>HYPERLINK("https://drive.google.com/file/d/116Wej7C_y11yb286uEi-W2VX81zobL2B/view?usp=drivesdk","Warhammer Fantasy - Kislev JumpChain.pdf")</f>
        <v>Warhammer Fantasy - Kislev JumpChain.pdf</v>
      </c>
      <c r="B136" s="12" t="str">
        <f t="shared" si="35"/>
        <v>DriveAnon's 4chan Drive/2. EVERYONE ELSE'S JUMPS/3. Series/Warhammer Fantasy</v>
      </c>
    </row>
    <row r="137">
      <c r="A137" s="12" t="str">
        <f>HYPERLINK("https://drive.google.com/file/d/1CPKijy4dmDh2DFJTspPB4h52Hc3ZJKc2/view?usp=drivesdk","Warhammer Fantasy - Tomb Kings JumpChain.pdf")</f>
        <v>Warhammer Fantasy - Tomb Kings JumpChain.pdf</v>
      </c>
      <c r="B137" s="12" t="str">
        <f t="shared" si="35"/>
        <v>DriveAnon's 4chan Drive/2. EVERYONE ELSE'S JUMPS/3. Series/Warhammer Fantasy</v>
      </c>
    </row>
    <row r="138">
      <c r="A138" s="12" t="str">
        <f>HYPERLINK("https://drive.google.com/file/d/1GzSFXkMulXREN7-wPCAkp-vpw-l17CGm/view?usp=drivesdk","Warhammer Fantasy - Orcs _ Goblins JumpChain.pdf")</f>
        <v>Warhammer Fantasy - Orcs _ Goblins JumpChain.pdf</v>
      </c>
      <c r="B138" s="12" t="str">
        <f t="shared" si="35"/>
        <v>DriveAnon's 4chan Drive/2. EVERYONE ELSE'S JUMPS/3. Series/Warhammer Fantasy</v>
      </c>
    </row>
    <row r="139">
      <c r="A139" s="12" t="str">
        <f>HYPERLINK("https://drive.google.com/file/d/1NgBL2enTZUnYVFCV5Rtpb8K5cRwYmrKf/view?usp=drivesdk","Warhammer Fantasy - Dogs of War JumpChain.pdf")</f>
        <v>Warhammer Fantasy - Dogs of War JumpChain.pdf</v>
      </c>
      <c r="B139" s="12" t="str">
        <f t="shared" si="35"/>
        <v>DriveAnon's 4chan Drive/2. EVERYONE ELSE'S JUMPS/3. Series/Warhammer Fantasy</v>
      </c>
    </row>
    <row r="140">
      <c r="A140" s="12" t="str">
        <f>HYPERLINK("https://drive.google.com/file/d/1VU5NSSlTKK4AN1PVc3_gmPUO2RIp6oB5/view?usp=drivesdk","Warhammer Fantasy - Ogre Kingdoms JumpChain.pdf")</f>
        <v>Warhammer Fantasy - Ogre Kingdoms JumpChain.pdf</v>
      </c>
      <c r="B140" s="12" t="str">
        <f t="shared" si="35"/>
        <v>DriveAnon's 4chan Drive/2. EVERYONE ELSE'S JUMPS/3. Series/Warhammer Fantasy</v>
      </c>
    </row>
    <row r="141">
      <c r="A141" s="12" t="str">
        <f>HYPERLINK("https://drive.google.com/file/d/1Zm-39aX3v7gswoJUXf_QydfGiFmLx--5/view?usp=drivesdk","Warhammer Fantasy - Lizardmen JumpChain.pdf")</f>
        <v>Warhammer Fantasy - Lizardmen JumpChain.pdf</v>
      </c>
      <c r="B141" s="12" t="str">
        <f t="shared" si="35"/>
        <v>DriveAnon's 4chan Drive/2. EVERYONE ELSE'S JUMPS/3. Series/Warhammer Fantasy</v>
      </c>
    </row>
    <row r="142">
      <c r="A142" s="12" t="str">
        <f>HYPERLINK("https://drive.google.com/file/d/1iBmk3nMh2euAfLtjWV1BTpCi0ATD5dEZ/view?usp=drivesdk","Warhammer Fantasy - The Imperial Colleges of Magic JumpChain.pdf")</f>
        <v>Warhammer Fantasy - The Imperial Colleges of Magic JumpChain.pdf</v>
      </c>
      <c r="B142" s="12" t="str">
        <f t="shared" si="35"/>
        <v>DriveAnon's 4chan Drive/2. EVERYONE ELSE'S JUMPS/3. Series/Warhammer Fantasy</v>
      </c>
    </row>
    <row r="143">
      <c r="A143" s="12" t="str">
        <f>HYPERLINK("https://drive.google.com/file/d/1rE6cmHNhffuU42Cri89RLiRrcxetJh4p/view?usp=drivesdk","Warhammer Fantasy - Amazons JumpChain.pdf")</f>
        <v>Warhammer Fantasy - Amazons JumpChain.pdf</v>
      </c>
      <c r="B143" s="12" t="str">
        <f t="shared" si="35"/>
        <v>DriveAnon's 4chan Drive/2. EVERYONE ELSE'S JUMPS/3. Series/Warhammer Fantasy</v>
      </c>
    </row>
    <row r="144">
      <c r="A144" s="12" t="str">
        <f>HYPERLINK("https://drive.google.com/file/d/1tJsq7UIlOUWTQVHskjAosSp01949n6JK/view?usp=drivesdk","Warhammer Fantasy - Warriors of Chaos JumpChain.pdf")</f>
        <v>Warhammer Fantasy - Warriors of Chaos JumpChain.pdf</v>
      </c>
      <c r="B144" s="12" t="str">
        <f t="shared" si="35"/>
        <v>DriveAnon's 4chan Drive/2. EVERYONE ELSE'S JUMPS/3. Series/Warhammer Fantasy</v>
      </c>
    </row>
    <row r="145">
      <c r="A145" s="12" t="str">
        <f>HYPERLINK("https://drive.google.com/file/d/1vLl1pYMOe9bqhEzvq_6SdVikINky5END/view?usp=drivesdk","Warhammer Fantasy - Bretonnia JumpChain.pdf")</f>
        <v>Warhammer Fantasy - Bretonnia JumpChain.pdf</v>
      </c>
      <c r="B145" s="12" t="str">
        <f t="shared" si="35"/>
        <v>DriveAnon's 4chan Drive/2. EVERYONE ELSE'S JUMPS/3. Series/Warhammer Fantasy</v>
      </c>
    </row>
    <row r="146">
      <c r="A146" s="12" t="str">
        <f>HYPERLINK("https://drive.google.com/file/d/1T058VE7dzD_1ou1nwGzuB9A-XX4_vitQ/view?usp=drivesdk","Yu-Gi-Oh (Text Version).pdf")</f>
        <v>Yu-Gi-Oh (Text Version).pdf</v>
      </c>
      <c r="B146" s="12" t="str">
        <f t="shared" ref="B146:B148" si="36">HYPERLINK("https://drive.google.com/drive/folders/1_NWR-47VJVt6FMCj3bZLiG8KAnzQBQ16","DriveAnon's 4chan Drive/2. EVERYONE ELSE'S JUMPS/3. Series/Yu-Gi-Oh!")</f>
        <v>DriveAnon's 4chan Drive/2. EVERYONE ELSE'S JUMPS/3. Series/Yu-Gi-Oh!</v>
      </c>
    </row>
    <row r="147">
      <c r="A147" s="12" t="str">
        <f>HYPERLINK("https://drive.google.com/file/d/1LaXn1d0COZeV5wy8ny2rzq-04XbkC5H6/view?usp=drivesdk","YuGiOh JumpChain.pdf")</f>
        <v>YuGiOh JumpChain.pdf</v>
      </c>
      <c r="B147" s="12" t="str">
        <f t="shared" si="36"/>
        <v>DriveAnon's 4chan Drive/2. EVERYONE ELSE'S JUMPS/3. Series/Yu-Gi-Oh!</v>
      </c>
    </row>
    <row r="148">
      <c r="A148" s="12" t="str">
        <f>HYPERLINK("https://drive.google.com/file/d/1clpgyuEIurDs0EpJbcoYq4TQqBaFwSDP/view?usp=drivesdk","Yu-Gi-Oh! 5D_s World Championship JumpChain.pdf")</f>
        <v>Yu-Gi-Oh! 5D_s World Championship JumpChain.pdf</v>
      </c>
      <c r="B148" s="12" t="str">
        <f t="shared" si="36"/>
        <v>DriveAnon's 4chan Drive/2. EVERYONE ELSE'S JUMPS/3. Series/Yu-Gi-Oh!</v>
      </c>
    </row>
    <row r="149">
      <c r="A149" s="12" t="str">
        <f>HYPERLINK("https://drive.google.com/file/d/1Fyl1yAuoDHR132FqSySel7WgvZO3_cow/view?usp=drivesdk","Duel Monsters - Duel Terminal, Part 2.pdf")</f>
        <v>Duel Monsters - Duel Terminal, Part 2.pdf</v>
      </c>
      <c r="B149" s="12" t="str">
        <f t="shared" ref="B149:B152" si="37">HYPERLINK("https://drive.google.com/drive/folders/1G8D-N_iW41wsQ694q9Rg75F8Mv_iUA6y","DriveAnon's 4chan Drive/2. EVERYONE ELSE'S JUMPS/3. Series/Yu-Gi-Oh!/Duel Monsters")</f>
        <v>DriveAnon's 4chan Drive/2. EVERYONE ELSE'S JUMPS/3. Series/Yu-Gi-Oh!/Duel Monsters</v>
      </c>
    </row>
    <row r="150">
      <c r="A150" s="12" t="str">
        <f>HYPERLINK("https://drive.google.com/file/d/1AUzPYg7tLwRh64kykjl1rvJojKLI3f-t/view?usp=drivesdk","Duel Monsters – The Shadow Realm JumpChain.pdf")</f>
        <v>Duel Monsters – The Shadow Realm JumpChain.pdf</v>
      </c>
      <c r="B150" s="12" t="str">
        <f t="shared" si="37"/>
        <v>DriveAnon's 4chan Drive/2. EVERYONE ELSE'S JUMPS/3. Series/Yu-Gi-Oh!/Duel Monsters</v>
      </c>
    </row>
    <row r="151">
      <c r="A151" s="12" t="str">
        <f>HYPERLINK("https://drive.google.com/file/d/1HqfuCva1GbZC-NFCR_4wdPNYlTivMYlA/view?usp=drivesdk","Duel Monsters - The Heroes JumpChain.pdf")</f>
        <v>Duel Monsters - The Heroes JumpChain.pdf</v>
      </c>
      <c r="B151" s="12" t="str">
        <f t="shared" si="37"/>
        <v>DriveAnon's 4chan Drive/2. EVERYONE ELSE'S JUMPS/3. Series/Yu-Gi-Oh!/Duel Monsters</v>
      </c>
    </row>
    <row r="152">
      <c r="A152" s="12" t="str">
        <f>HYPERLINK("https://drive.google.com/file/d/1tTRwodCTUtb-yfBW75bhVH3WnnzOztxU/view?usp=drivesdk","Duel Monsters - Duel Terminal Part 1 JumpChain.pdf")</f>
        <v>Duel Monsters - Duel Terminal Part 1 JumpChain.pdf</v>
      </c>
      <c r="B152" s="12" t="str">
        <f t="shared" si="37"/>
        <v>DriveAnon's 4chan Drive/2. EVERYONE ELSE'S JUMPS/3. Series/Yu-Gi-Oh!/Duel Monsters</v>
      </c>
    </row>
    <row r="153">
      <c r="A153" s="12" t="str">
        <f>HYPERLINK("https://drive.google.com/file/d/1Bk8TyLzvqTNsRsQDcAFrKcnQTuFPsqkg/view?usp=drivesdk","White Knight Chronicles - Incorruptus _ Georama Supplement.pdf")</f>
        <v>White Knight Chronicles - Incorruptus _ Georama Supplement.pdf</v>
      </c>
      <c r="B153" s="12" t="str">
        <f t="shared" ref="B153:B154" si="38">HYPERLINK("https://drive.google.com/drive/folders/1buZSvNp9p_VAqUG3H4qkthHoJarC4PpL","DriveAnon's 4chan Drive/2. EVERYONE ELSE'S JUMPS/3. Series/White Knight Chronicles")</f>
        <v>DriveAnon's 4chan Drive/2. EVERYONE ELSE'S JUMPS/3. Series/White Knight Chronicles</v>
      </c>
    </row>
    <row r="154">
      <c r="A154" s="12" t="str">
        <f>HYPERLINK("https://drive.google.com/file/d/1ULmyoMfZxZjRNp4JfIayd_VA879I8j8l/view?usp=drivesdk","White Knight Chronicles - JumpChain .pdf")</f>
        <v>White Knight Chronicles - JumpChain .pdf</v>
      </c>
      <c r="B154" s="12" t="str">
        <f t="shared" si="38"/>
        <v>DriveAnon's 4chan Drive/2. EVERYONE ELSE'S JUMPS/3. Series/White Knight Chronicles</v>
      </c>
    </row>
    <row r="155">
      <c r="A155" s="12" t="str">
        <f>HYPERLINK("https://drive.google.com/file/d/1WgRahLbKQAiXzQvMq70JifThh9CWiKk-/view?usp=drivesdk","Warhammer 40,000 - Necrons.pdf")</f>
        <v>Warhammer 40,000 - Necrons.pdf</v>
      </c>
      <c r="B155" s="12" t="str">
        <f t="shared" ref="B155:B168" si="39">HYPERLINK("https://drive.google.com/drive/folders/1dZDM9StXzf-lcrnz4ixVSWOmu2dxT4Kq","DriveAnon's 4chan Drive/2. EVERYONE ELSE'S JUMPS/3. Series/Warhammer 40,000")</f>
        <v>DriveAnon's 4chan Drive/2. EVERYONE ELSE'S JUMPS/3. Series/Warhammer 40,000</v>
      </c>
    </row>
    <row r="156">
      <c r="A156" s="12" t="str">
        <f>HYPERLINK("https://drive.google.com/file/d/1lZFdLacnUvx9udUGWTe75Vf-86qpIx2n/view?usp=drivesdk","The Dark Eldar.pdf")</f>
        <v>The Dark Eldar.pdf</v>
      </c>
      <c r="B156" s="12" t="str">
        <f t="shared" si="39"/>
        <v>DriveAnon's 4chan Drive/2. EVERYONE ELSE'S JUMPS/3. Series/Warhammer 40,000</v>
      </c>
    </row>
    <row r="157">
      <c r="A157" s="12" t="str">
        <f>HYPERLINK("https://drive.google.com/file/d/1nMmwJBX35aAF9VvpKxfJBmdPK1kMVvyI/view?usp=drivesdk","Adepta Sororitas.pdf")</f>
        <v>Adepta Sororitas.pdf</v>
      </c>
      <c r="B157" s="12" t="str">
        <f t="shared" si="39"/>
        <v>DriveAnon's 4chan Drive/2. EVERYONE ELSE'S JUMPS/3. Series/Warhammer 40,000</v>
      </c>
    </row>
    <row r="158">
      <c r="A158" s="12" t="str">
        <f>HYPERLINK("https://drive.google.com/file/d/1fcWZhIYM3B-B801vqsrLYTqXVPw8M_b9/view?usp=drivesdk","Talons of the Emperor.pdf")</f>
        <v>Talons of the Emperor.pdf</v>
      </c>
      <c r="B158" s="12" t="str">
        <f t="shared" si="39"/>
        <v>DriveAnon's 4chan Drive/2. EVERYONE ELSE'S JUMPS/3. Series/Warhammer 40,000</v>
      </c>
    </row>
    <row r="159">
      <c r="A159" s="12" t="str">
        <f>HYPERLINK("https://drive.google.com/file/d/18E_XZpe5ii8LwHekmgq_ci6cvYLp-_DR/view?usp=drivesdk","Warhammer 40k- Craftworld Eldar JumpChain.pdf")</f>
        <v>Warhammer 40k- Craftworld Eldar JumpChain.pdf</v>
      </c>
      <c r="B159" s="12" t="str">
        <f t="shared" si="39"/>
        <v>DriveAnon's 4chan Drive/2. EVERYONE ELSE'S JUMPS/3. Series/Warhammer 40,000</v>
      </c>
    </row>
    <row r="160">
      <c r="A160" s="12" t="str">
        <f>HYPERLINK("https://drive.google.com/file/d/1B3KdS6nANRj7AqgExmaGtSn2mh3WLloo/view?usp=drivesdk","Warhammer 40k-Commorragh JumpChain.pdf")</f>
        <v>Warhammer 40k-Commorragh JumpChain.pdf</v>
      </c>
      <c r="B160" s="12" t="str">
        <f t="shared" si="39"/>
        <v>DriveAnon's 4chan Drive/2. EVERYONE ELSE'S JUMPS/3. Series/Warhammer 40,000</v>
      </c>
    </row>
    <row r="161">
      <c r="A161" s="12" t="str">
        <f>HYPERLINK("https://drive.google.com/file/d/1BDGCe1RTZoHl6ES_1l1ggbFQzJ-UaO-t/view?usp=drivesdk","Warhammer 40k- Imperium JumpChain.pdf")</f>
        <v>Warhammer 40k- Imperium JumpChain.pdf</v>
      </c>
      <c r="B161" s="12" t="str">
        <f t="shared" si="39"/>
        <v>DriveAnon's 4chan Drive/2. EVERYONE ELSE'S JUMPS/3. Series/Warhammer 40,000</v>
      </c>
    </row>
    <row r="162">
      <c r="A162" s="12" t="str">
        <f>HYPERLINK("https://drive.google.com/file/d/1I85M-qlORBiznRbmfrp79Tb9m3N8SCMe/view?usp=drivesdk","Warhammer 40k- Adeptus Astartes DLC JumpChain.pdf")</f>
        <v>Warhammer 40k- Adeptus Astartes DLC JumpChain.pdf</v>
      </c>
      <c r="B162" s="12" t="str">
        <f t="shared" si="39"/>
        <v>DriveAnon's 4chan Drive/2. EVERYONE ELSE'S JUMPS/3. Series/Warhammer 40,000</v>
      </c>
    </row>
    <row r="163">
      <c r="A163" s="12" t="str">
        <f>HYPERLINK("https://drive.google.com/file/d/1IuLepyGffPncNmaNvJdN9ka3GTrdbPfB/view?usp=drivesdk","Warhammer 40k- Adeptus Astartes JumpChain.pdf")</f>
        <v>Warhammer 40k- Adeptus Astartes JumpChain.pdf</v>
      </c>
      <c r="B163" s="12" t="str">
        <f t="shared" si="39"/>
        <v>DriveAnon's 4chan Drive/2. EVERYONE ELSE'S JUMPS/3. Series/Warhammer 40,000</v>
      </c>
    </row>
    <row r="164">
      <c r="A164" s="12" t="str">
        <f>HYPERLINK("https://drive.google.com/file/d/1KTkSj71tjLTi5_qhRQGOA2HrH5JGSGd2/view?usp=drivesdk","Warhammer 40k- Freelancer JumpChain.pdf")</f>
        <v>Warhammer 40k- Freelancer JumpChain.pdf</v>
      </c>
      <c r="B164" s="12" t="str">
        <f t="shared" si="39"/>
        <v>DriveAnon's 4chan Drive/2. EVERYONE ELSE'S JUMPS/3. Series/Warhammer 40,000</v>
      </c>
    </row>
    <row r="165">
      <c r="A165" s="12" t="str">
        <f>HYPERLINK("https://drive.google.com/file/d/1Sr5aBt5_--vG4pYeJ9deN_V3fJWxKgVQ/view?usp=drivesdk","Warhammer 40k- Tyranids JumpChain.pdf")</f>
        <v>Warhammer 40k- Tyranids JumpChain.pdf</v>
      </c>
      <c r="B165" s="12" t="str">
        <f t="shared" si="39"/>
        <v>DriveAnon's 4chan Drive/2. EVERYONE ELSE'S JUMPS/3. Series/Warhammer 40,000</v>
      </c>
    </row>
    <row r="166">
      <c r="A166" s="12" t="str">
        <f>HYPERLINK("https://drive.google.com/file/d/1W2yaHW62OY1_h1GkXbVlFegrTl7Ixu6c/view?usp=drivesdk","Horus Heresy - The Primarchs JumpChain.pdf")</f>
        <v>Horus Heresy - The Primarchs JumpChain.pdf</v>
      </c>
      <c r="B166" s="12" t="str">
        <f t="shared" si="39"/>
        <v>DriveAnon's 4chan Drive/2. EVERYONE ELSE'S JUMPS/3. Series/Warhammer 40,000</v>
      </c>
    </row>
    <row r="167">
      <c r="A167" s="12" t="str">
        <f>HYPERLINK("https://drive.google.com/file/d/1o3iOzxTBc3aPsSYjcSTcuGSg-2pegH7r/view?usp=drivesdk","Warhammer 40k- Imperial Guard JumpChain.pdf")</f>
        <v>Warhammer 40k- Imperial Guard JumpChain.pdf</v>
      </c>
      <c r="B167" s="12" t="str">
        <f t="shared" si="39"/>
        <v>DriveAnon's 4chan Drive/2. EVERYONE ELSE'S JUMPS/3. Series/Warhammer 40,000</v>
      </c>
    </row>
    <row r="168">
      <c r="A168" s="12" t="str">
        <f>HYPERLINK("https://drive.google.com/file/d/1N30PJ0mnCrLFdZCSDfCP7G6nsBjeQQek/view?usp=drivesdk","Warhammer 40k - Adeptus Mechanicus (v1.21 update).pdf")</f>
        <v>Warhammer 40k - Adeptus Mechanicus (v1.21 update).pdf</v>
      </c>
      <c r="B168" s="12" t="str">
        <f t="shared" si="39"/>
        <v>DriveAnon's 4chan Drive/2. EVERYONE ELSE'S JUMPS/3. Series/Warhammer 40,000</v>
      </c>
    </row>
    <row r="169">
      <c r="A169" s="12" t="str">
        <f>HYPERLINK("https://drive.google.com/file/d/10Y44XbwF9HVu42bFXomBwVveKBJTWzk-/view?usp=drivesdk","LoT DLC 1 - The Heathen Trail.pdf")</f>
        <v>LoT DLC 1 - The Heathen Trail.pdf</v>
      </c>
      <c r="B169" s="12" t="str">
        <f t="shared" ref="B169:B177" si="40">HYPERLINK("https://drive.google.com/drive/folders/1Kt3MYUFvm79Tx7FKPmeZZeJIR82dm5Hf","DriveAnon's 4chan Drive/2. EVERYONE ELSE'S JUMPS/3. Series/Warhammer 40,000/Light of Terra")</f>
        <v>DriveAnon's 4chan Drive/2. EVERYONE ELSE'S JUMPS/3. Series/Warhammer 40,000/Light of Terra</v>
      </c>
    </row>
    <row r="170">
      <c r="A170" s="12" t="str">
        <f>HYPERLINK("https://drive.google.com/file/d/11-s1dDcnjrGUtvoNqESt2xNk36u5p55K/view?usp=drivesdk","LoT part 3 - Processional Of The Damned.pdf")</f>
        <v>LoT part 3 - Processional Of The Damned.pdf</v>
      </c>
      <c r="B170" s="12" t="str">
        <f t="shared" si="40"/>
        <v>DriveAnon's 4chan Drive/2. EVERYONE ELSE'S JUMPS/3. Series/Warhammer 40,000/Light of Terra</v>
      </c>
    </row>
    <row r="171">
      <c r="A171" s="12" t="str">
        <f>HYPERLINK("https://drive.google.com/file/d/1NXEWElC970QANgA2gyV_BtLLq1hkJMIa/view?usp=drivesdk","LoT part 1 - Ark of the Forsaken.pdf")</f>
        <v>LoT part 1 - Ark of the Forsaken.pdf</v>
      </c>
      <c r="B171" s="12" t="str">
        <f t="shared" si="40"/>
        <v>DriveAnon's 4chan Drive/2. EVERYONE ELSE'S JUMPS/3. Series/Warhammer 40,000/Light of Terra</v>
      </c>
    </row>
    <row r="172">
      <c r="A172" s="12" t="str">
        <f>HYPERLINK("https://drive.google.com/file/d/1abL3ubfSb7w9Hri3KqfOKen7A0gWmDCh/view?usp=drivesdk","LoT part 2 - Land of the Sky Father.pdf")</f>
        <v>LoT part 2 - Land of the Sky Father.pdf</v>
      </c>
      <c r="B172" s="12" t="str">
        <f t="shared" si="40"/>
        <v>DriveAnon's 4chan Drive/2. EVERYONE ELSE'S JUMPS/3. Series/Warhammer 40,000/Light of Terra</v>
      </c>
    </row>
    <row r="173">
      <c r="A173" s="12" t="str">
        <f>HYPERLINK("https://drive.google.com/file/d/1bilwyS-JJKdD_P88zvcji2pulZmitkIu/view?usp=drivesdk","LoT Clarifications, the thank you section and the ultra secret super hard mode.pdf")</f>
        <v>LoT Clarifications, the thank you section and the ultra secret super hard mode.pdf</v>
      </c>
      <c r="B173" s="12" t="str">
        <f t="shared" si="40"/>
        <v>DriveAnon's 4chan Drive/2. EVERYONE ELSE'S JUMPS/3. Series/Warhammer 40,000/Light of Terra</v>
      </c>
    </row>
    <row r="174">
      <c r="A174" s="12" t="str">
        <f>HYPERLINK("https://drive.google.com/file/d/1f98u4cqRmrrJ4I7yqasdKHKbNJveaK-E/view?usp=drivesdk","LoT DLC 3 - A Grand Day Out.pdf")</f>
        <v>LoT DLC 3 - A Grand Day Out.pdf</v>
      </c>
      <c r="B174" s="12" t="str">
        <f t="shared" si="40"/>
        <v>DriveAnon's 4chan Drive/2. EVERYONE ELSE'S JUMPS/3. Series/Warhammer 40,000/Light of Terra</v>
      </c>
    </row>
    <row r="175">
      <c r="A175" s="12" t="str">
        <f>HYPERLINK("https://drive.google.com/file/d/1lCGtfRcJnSeDPliLpSs_WADLtz2uO-PP/view?usp=drivesdk","LoT DLC 4 - Lords of the Iron Line.pdf")</f>
        <v>LoT DLC 4 - Lords of the Iron Line.pdf</v>
      </c>
      <c r="B175" s="12" t="str">
        <f t="shared" si="40"/>
        <v>DriveAnon's 4chan Drive/2. EVERYONE ELSE'S JUMPS/3. Series/Warhammer 40,000/Light of Terra</v>
      </c>
    </row>
    <row r="176">
      <c r="A176" s="12" t="str">
        <f>HYPERLINK("https://drive.google.com/file/d/1oWtpdmMoG4Ntf4nusNns5MFZAYHbOLNv/view?usp=drivesdk","LoT DLC 5 - A Sky Filled With Steel.pdf")</f>
        <v>LoT DLC 5 - A Sky Filled With Steel.pdf</v>
      </c>
      <c r="B176" s="12" t="str">
        <f t="shared" si="40"/>
        <v>DriveAnon's 4chan Drive/2. EVERYONE ELSE'S JUMPS/3. Series/Warhammer 40,000/Light of Terra</v>
      </c>
    </row>
    <row r="177">
      <c r="A177" s="12" t="str">
        <f>HYPERLINK("https://drive.google.com/file/d/1s3mqOm4TBf_DfAmHAr59XwEV7J-z6uxl/view?usp=drivesdk","LoT DLC 2 - A Day at the Races.pdf")</f>
        <v>LoT DLC 2 - A Day at the Races.pdf</v>
      </c>
      <c r="B177" s="12" t="str">
        <f t="shared" si="40"/>
        <v>DriveAnon's 4chan Drive/2. EVERYONE ELSE'S JUMPS/3. Series/Warhammer 40,000/Light of Terra</v>
      </c>
    </row>
    <row r="178">
      <c r="A178" s="12" t="str">
        <f>HYPERLINK("https://drive.google.com/file/d/1IJfAxkA9d_lhXxqb4XXO2B1Kibau3pAf/view?usp=drivesdk","Black Crusade Part 2 - The Crimson Path.pdf")</f>
        <v>Black Crusade Part 2 - The Crimson Path.pdf</v>
      </c>
      <c r="B178" s="12" t="str">
        <f t="shared" ref="B178:B180" si="41">HYPERLINK("https://drive.google.com/drive/folders/1kdnpRW3_7eALRF4EWlWLT8ch8xzOH0UK","DriveAnon's 4chan Drive/2. EVERYONE ELSE'S JUMPS/3. Series/Warhammer 40,000/Warhammer 40k- Black Crusade")</f>
        <v>DriveAnon's 4chan Drive/2. EVERYONE ELSE'S JUMPS/3. Series/Warhammer 40,000/Warhammer 40k- Black Crusade</v>
      </c>
    </row>
    <row r="179">
      <c r="A179" s="12" t="str">
        <f>HYPERLINK("https://drive.google.com/file/d/1QIbqr0EfWfsOWA2mFdcYoCEa_XVrxy0i/view?usp=drivesdk","Black Crusade Part 1 - Rise of the Void Walker.pdf")</f>
        <v>Black Crusade Part 1 - Rise of the Void Walker.pdf</v>
      </c>
      <c r="B179" s="12" t="str">
        <f t="shared" si="41"/>
        <v>DriveAnon's 4chan Drive/2. EVERYONE ELSE'S JUMPS/3. Series/Warhammer 40,000/Warhammer 40k- Black Crusade</v>
      </c>
    </row>
    <row r="180">
      <c r="A180" s="12" t="str">
        <f>HYPERLINK("https://drive.google.com/file/d/1d75Jn9iXQUSJ8uPimTUzU0Spea89IRlj/view?usp=drivesdk","Black Crusade Part 3 - The Gate of Divinity.pdf")</f>
        <v>Black Crusade Part 3 - The Gate of Divinity.pdf</v>
      </c>
      <c r="B180" s="12" t="str">
        <f t="shared" si="41"/>
        <v>DriveAnon's 4chan Drive/2. EVERYONE ELSE'S JUMPS/3. Series/Warhammer 40,000/Warhammer 40k- Black Crusade</v>
      </c>
    </row>
    <row r="181">
      <c r="A181" s="12" t="str">
        <f>HYPERLINK("https://drive.google.com/file/d/10kkTJ-vpQou59NEacXoCAyPoLSirTM1t/view?usp=drivesdk","Wakfu JumpChain.pdf")</f>
        <v>Wakfu JumpChain.pdf</v>
      </c>
      <c r="B181" s="12" t="str">
        <f>HYPERLINK("https://drive.google.com/drive/folders/1YF_8VAC7ufR5noydDD0WeyeP58GYg6it","DriveAnon's 4chan Drive/2. EVERYONE ELSE'S JUMPS/3. Series/Wakfu Images")</f>
        <v>DriveAnon's 4chan Drive/2. EVERYONE ELSE'S JUMPS/3. Series/Wakfu Images</v>
      </c>
    </row>
    <row r="182">
      <c r="A182" s="12" t="str">
        <f>HYPERLINK("https://drive.google.com/file/d/14qLyXbqxU6_-xSfhaGt8vEIW-pt0YS_H/view?usp=drivesdk","Drawbacks and Ending.png")</f>
        <v>Drawbacks and Ending.png</v>
      </c>
      <c r="B182" s="12" t="str">
        <f t="shared" ref="B182:B189" si="42">HYPERLINK("https://drive.google.com/drive/folders/1RjCj6uxb15L8EeHJigYjQaTg5NiBLkdX","DriveAnon's 4chan Drive/2. EVERYONE ELSE'S JUMPS/3. Series/Wakfu Images/_Old_ Wakfu Jump")</f>
        <v>DriveAnon's 4chan Drive/2. EVERYONE ELSE'S JUMPS/3. Series/Wakfu Images/_Old_ Wakfu Jump</v>
      </c>
    </row>
    <row r="183">
      <c r="A183" s="12" t="str">
        <f>HYPERLINK("https://drive.google.com/file/d/1grAHm2U6E0R4kFUy6z_zjq34Q364_5Sf/view?usp=drivesdk","Identity and Races.png")</f>
        <v>Identity and Races.png</v>
      </c>
      <c r="B183" s="12" t="str">
        <f t="shared" si="42"/>
        <v>DriveAnon's 4chan Drive/2. EVERYONE ELSE'S JUMPS/3. Series/Wakfu Images/_Old_ Wakfu Jump</v>
      </c>
    </row>
    <row r="184">
      <c r="A184" s="12" t="str">
        <f>HYPERLINK("https://drive.google.com/file/d/17X39WjmzRZjrs4SvUSSgmd-zelYqirY2/view?usp=drivesdk","Notes.png")</f>
        <v>Notes.png</v>
      </c>
      <c r="B184" s="12" t="str">
        <f t="shared" si="42"/>
        <v>DriveAnon's 4chan Drive/2. EVERYONE ELSE'S JUMPS/3. Series/Wakfu Images/_Old_ Wakfu Jump</v>
      </c>
    </row>
    <row r="185">
      <c r="A185" s="12" t="str">
        <f>HYPERLINK("https://drive.google.com/file/d/19q19sSPNGUbX9qnshvSgEQmtdkJPDdBQ/view?usp=drivesdk","Skills and Abilities.png")</f>
        <v>Skills and Abilities.png</v>
      </c>
      <c r="B185" s="12" t="str">
        <f t="shared" si="42"/>
        <v>DriveAnon's 4chan Drive/2. EVERYONE ELSE'S JUMPS/3. Series/Wakfu Images/_Old_ Wakfu Jump</v>
      </c>
    </row>
    <row r="186">
      <c r="A186" s="12" t="str">
        <f>HYPERLINK("https://drive.google.com/file/d/1GudlCpi22gx9LXFxZS7KYyINbn8bBsax/view?usp=drivesdk","Gear and Supplies.png")</f>
        <v>Gear and Supplies.png</v>
      </c>
      <c r="B186" s="12" t="str">
        <f t="shared" si="42"/>
        <v>DriveAnon's 4chan Drive/2. EVERYONE ELSE'S JUMPS/3. Series/Wakfu Images/_Old_ Wakfu Jump</v>
      </c>
    </row>
    <row r="187">
      <c r="A187" s="12" t="str">
        <f>HYPERLINK("https://drive.google.com/file/d/1VO4foUjzFTA9xg2u17etg0n8XupkyRZq/view?usp=drivesdk","Locations.png")</f>
        <v>Locations.png</v>
      </c>
      <c r="B187" s="12" t="str">
        <f t="shared" si="42"/>
        <v>DriveAnon's 4chan Drive/2. EVERYONE ELSE'S JUMPS/3. Series/Wakfu Images/_Old_ Wakfu Jump</v>
      </c>
    </row>
    <row r="188">
      <c r="A188" s="12" t="str">
        <f>HYPERLINK("https://drive.google.com/file/d/1t8DnovkLi7a3hv7wgxQbEFUkI4EZC6t1/view?usp=drivesdk","Wakfu Full PDF.pdf")</f>
        <v>Wakfu Full PDF.pdf</v>
      </c>
      <c r="B188" s="12" t="str">
        <f t="shared" si="42"/>
        <v>DriveAnon's 4chan Drive/2. EVERYONE ELSE'S JUMPS/3. Series/Wakfu Images/_Old_ Wakfu Jump</v>
      </c>
    </row>
    <row r="189">
      <c r="A189" s="12" t="str">
        <f>HYPERLINK("https://drive.google.com/file/d/1xAEn2nsr_bHRhgE1GhCNmkTjA4rluiPJ/view?usp=drivesdk","Title Page by Agua.png")</f>
        <v>Title Page by Agua.png</v>
      </c>
      <c r="B189" s="12" t="str">
        <f t="shared" si="42"/>
        <v>DriveAnon's 4chan Drive/2. EVERYONE ELSE'S JUMPS/3. Series/Wakfu Images/_Old_ Wakfu Jump</v>
      </c>
    </row>
    <row r="190">
      <c r="A190" s="12" t="str">
        <f>HYPERLINK("https://drive.google.com/file/d/13KwQj0D4_wxjrb2J0qUyfDuBnMJd-PE0/view?usp=drivesdk","Kaiju Girls JumpChain.pdf")</f>
        <v>Kaiju Girls JumpChain.pdf</v>
      </c>
      <c r="B190" s="12" t="str">
        <f t="shared" ref="B190:B191" si="43">HYPERLINK("https://drive.google.com/drive/folders/1D9bO_WNVQfWcM3z8sxL2zE-rddHwO_DI","DriveAnon's 4chan Drive/2. EVERYONE ELSE'S JUMPS/3. Series/Ultraman")</f>
        <v>DriveAnon's 4chan Drive/2. EVERYONE ELSE'S JUMPS/3. Series/Ultraman</v>
      </c>
    </row>
    <row r="191">
      <c r="A191" s="12" t="str">
        <f>HYPERLINK("https://drive.google.com/file/d/1id8aXKfDQxqxlDvnC5koBD-Ku7Lr4jmf/view?usp=drivesdk","Ultraman JumpChain.pdf")</f>
        <v>Ultraman JumpChain.pdf</v>
      </c>
      <c r="B191" s="12" t="str">
        <f t="shared" si="43"/>
        <v>DriveAnon's 4chan Drive/2. EVERYONE ELSE'S JUMPS/3. Series/Ultraman</v>
      </c>
    </row>
    <row r="192">
      <c r="A192" s="12" t="str">
        <f>HYPERLINK("https://drive.google.com/file/d/1-wHOrOE4EfOqZ5tvpHdsCoKMknU8V8HT/view?usp=drivesdk","Tsukihime JumpChain.pdf")</f>
        <v>Tsukihime JumpChain.pdf</v>
      </c>
      <c r="B192" s="12" t="str">
        <f t="shared" ref="B192:B194" si="44">HYPERLINK("https://drive.google.com/drive/folders/1sDu-vXdy4R9Hng-NXYdnwUBWQuNF2lf2","DriveAnon's 4chan Drive/2. EVERYONE ELSE'S JUMPS/3. Series/Type Moon")</f>
        <v>DriveAnon's 4chan Drive/2. EVERYONE ELSE'S JUMPS/3. Series/Type Moon</v>
      </c>
    </row>
    <row r="193">
      <c r="A193" s="12" t="str">
        <f>HYPERLINK("https://drive.google.com/file/d/193oKIjhfoO0oKE1nTusLs7Is4wVhZnAa/view?usp=drivesdk","Kara no Kyokai JumpChain.pdf")</f>
        <v>Kara no Kyokai JumpChain.pdf</v>
      </c>
      <c r="B193" s="12" t="str">
        <f t="shared" si="44"/>
        <v>DriveAnon's 4chan Drive/2. EVERYONE ELSE'S JUMPS/3. Series/Type Moon</v>
      </c>
    </row>
    <row r="194">
      <c r="A194" s="12" t="str">
        <f>HYPERLINK("https://drive.google.com/file/d/1UJhVBpWzOVYrVdmc9-FVOabILfFWDWr_/view?usp=drivesdk","Angel Notes JumpChain.pdf")</f>
        <v>Angel Notes JumpChain.pdf</v>
      </c>
      <c r="B194" s="12" t="str">
        <f t="shared" si="44"/>
        <v>DriveAnon's 4chan Drive/2. EVERYONE ELSE'S JUMPS/3. Series/Type Moon</v>
      </c>
    </row>
    <row r="195">
      <c r="A195" s="12" t="str">
        <f>HYPERLINK("https://drive.google.com/file/d/1XAtGXPbTut7thSp2F-7qO2U2CzyyCD3b/view?usp=drivesdk","Saber Wars - The Original Trilogy.pdf")</f>
        <v>Saber Wars - The Original Trilogy.pdf</v>
      </c>
      <c r="B195" s="12" t="str">
        <f t="shared" ref="B195:B214" si="45">HYPERLINK("https://drive.google.com/drive/folders/1ygZa3P6D7rVpvUc6tCEJRSBnZTgFlzoI","DriveAnon's 4chan Drive/2. EVERYONE ELSE'S JUMPS/3. Series/Type Moon/Fate-JumpChain")</f>
        <v>DriveAnon's 4chan Drive/2. EVERYONE ELSE'S JUMPS/3. Series/Type Moon/Fate-JumpChain</v>
      </c>
    </row>
    <row r="196">
      <c r="A196" s="12" t="str">
        <f>HYPERLINK("https://drive.google.com/file/d/1HkZnkYom1ieATonDmxoD3IVt2SLXTCyT/view?usp=drivesdk","Fate Servant Supplement.pdf")</f>
        <v>Fate Servant Supplement.pdf</v>
      </c>
      <c r="B196" s="12" t="str">
        <f t="shared" si="45"/>
        <v>DriveAnon's 4chan Drive/2. EVERYONE ELSE'S JUMPS/3. Series/Type Moon/Fate-JumpChain</v>
      </c>
    </row>
    <row r="197">
      <c r="A197" s="12" t="str">
        <f>HYPERLINK("https://drive.google.com/file/d/1lfa7CndzKGE6oQ8rTON3JZmribrrOLyW/view?usp=drivesdk","Fate Extra.pdf")</f>
        <v>Fate Extra.pdf</v>
      </c>
      <c r="B197" s="12" t="str">
        <f t="shared" si="45"/>
        <v>DriveAnon's 4chan Drive/2. EVERYONE ELSE'S JUMPS/3. Series/Type Moon/Fate-JumpChain</v>
      </c>
    </row>
    <row r="198">
      <c r="A198" s="12" t="str">
        <f>HYPERLINK("https://drive.google.com/file/d/1G2mBxCjq7l7kUaoths0YbwMvpGhLm7JI/view?usp=drivesdk","Fate JumpChain.pdf")</f>
        <v>Fate JumpChain.pdf</v>
      </c>
      <c r="B198" s="12" t="str">
        <f t="shared" si="45"/>
        <v>DriveAnon's 4chan Drive/2. EVERYONE ELSE'S JUMPS/3. Series/Type Moon/Fate-JumpChain</v>
      </c>
    </row>
    <row r="199">
      <c r="A199" s="12" t="str">
        <f>HYPERLINK("https://drive.google.com/file/d/1JA9Y5Nk5hMhKr9B9_cp-DHREE-RyCHYj/view?usp=drivesdk","Fate Legends - Land of Shadows JumpChain.pdf")</f>
        <v>Fate Legends - Land of Shadows JumpChain.pdf</v>
      </c>
      <c r="B199" s="12" t="str">
        <f t="shared" si="45"/>
        <v>DriveAnon's 4chan Drive/2. EVERYONE ELSE'S JUMPS/3. Series/Type Moon/Fate-JumpChain</v>
      </c>
    </row>
    <row r="200">
      <c r="A200" s="12" t="str">
        <f>HYPERLINK("https://drive.google.com/file/d/1hPHDCxVyfEweLXjacFCKCl9RUQQlP3PZ/view?usp=drivesdk","Fate Legends - Garden of Avalon JumpChain.pdf")</f>
        <v>Fate Legends - Garden of Avalon JumpChain.pdf</v>
      </c>
      <c r="B200" s="12" t="str">
        <f t="shared" si="45"/>
        <v>DriveAnon's 4chan Drive/2. EVERYONE ELSE'S JUMPS/3. Series/Type Moon/Fate-JumpChain</v>
      </c>
    </row>
    <row r="201">
      <c r="A201" s="12" t="str">
        <f>HYPERLINK("https://drive.google.com/file/d/1bPA5t0Rg3KOISy4buiRwZZAYpVl8emx7/view?usp=drivesdk","Fate Legends - Empires of Antiquity JumpChain.pdf")</f>
        <v>Fate Legends - Empires of Antiquity JumpChain.pdf</v>
      </c>
      <c r="B201" s="12" t="str">
        <f t="shared" si="45"/>
        <v>DriveAnon's 4chan Drive/2. EVERYONE ELSE'S JUMPS/3. Series/Type Moon/Fate-JumpChain</v>
      </c>
    </row>
    <row r="202">
      <c r="A202" s="12" t="str">
        <f>HYPERLINK("https://drive.google.com/file/d/1Sz2owcd2ixawsoyp8GGPvVdobikUGtMk/view?usp=drivesdk","Fate Legends - Strange New World.pdf")</f>
        <v>Fate Legends - Strange New World.pdf</v>
      </c>
      <c r="B202" s="12" t="str">
        <f t="shared" si="45"/>
        <v>DriveAnon's 4chan Drive/2. EVERYONE ELSE'S JUMPS/3. Series/Type Moon/Fate-JumpChain</v>
      </c>
    </row>
    <row r="203">
      <c r="A203" s="12" t="str">
        <f>HYPERLINK("https://drive.google.com/file/d/1aKc7sZBADFZQ15LqNruuu7J8J-eA9drs/view?usp=drivesdk","Fate Legends - Vive La France.pdf")</f>
        <v>Fate Legends - Vive La France.pdf</v>
      </c>
      <c r="B203" s="12" t="str">
        <f t="shared" si="45"/>
        <v>DriveAnon's 4chan Drive/2. EVERYONE ELSE'S JUMPS/3. Series/Type Moon/Fate-JumpChain</v>
      </c>
    </row>
    <row r="204">
      <c r="A204" s="12" t="str">
        <f>HYPERLINK("https://drive.google.com/file/d/1Um-W_bkJWwykLAdqsoa7IlRmImW8Zci9/view?usp=drivesdk","Fate Legends - Oasis of Fantasy.pdf")</f>
        <v>Fate Legends - Oasis of Fantasy.pdf</v>
      </c>
      <c r="B204" s="12" t="str">
        <f t="shared" si="45"/>
        <v>DriveAnon's 4chan Drive/2. EVERYONE ELSE'S JUMPS/3. Series/Type Moon/Fate-JumpChain</v>
      </c>
    </row>
    <row r="205">
      <c r="A205" s="12" t="str">
        <f>HYPERLINK("https://drive.google.com/file/d/1EFLwOberaMVUKHHBuiQvvL-MkueeFp9d/view?usp=drivesdk","Fate Legends - The Land of the Rising Sun.pdf")</f>
        <v>Fate Legends - The Land of the Rising Sun.pdf</v>
      </c>
      <c r="B205" s="12" t="str">
        <f t="shared" si="45"/>
        <v>DriveAnon's 4chan Drive/2. EVERYONE ELSE'S JUMPS/3. Series/Type Moon/Fate-JumpChain</v>
      </c>
    </row>
    <row r="206">
      <c r="A206" s="12" t="str">
        <f>HYPERLINK("https://drive.google.com/file/d/1Pw3Msd4whQLgAxfL7WHH3gtzJSXxCceW/view?usp=drivesdk","Fate Legends - Nirvana Yuga.pdf")</f>
        <v>Fate Legends - Nirvana Yuga.pdf</v>
      </c>
      <c r="B206" s="12" t="str">
        <f t="shared" si="45"/>
        <v>DriveAnon's 4chan Drive/2. EVERYONE ELSE'S JUMPS/3. Series/Type Moon/Fate-JumpChain</v>
      </c>
    </row>
    <row r="207">
      <c r="A207" s="12" t="str">
        <f>HYPERLINK("https://drive.google.com/file/d/1UFspKWtbtt1CSY2y5eSBdkgNGf5DMtDf/view?usp=drivesdk","Fate Legends - God Save the Queen.pdf")</f>
        <v>Fate Legends - God Save the Queen.pdf</v>
      </c>
      <c r="B207" s="12" t="str">
        <f t="shared" si="45"/>
        <v>DriveAnon's 4chan Drive/2. EVERYONE ELSE'S JUMPS/3. Series/Type Moon/Fate-JumpChain</v>
      </c>
    </row>
    <row r="208">
      <c r="A208" s="12" t="str">
        <f>HYPERLINK("https://drive.google.com/file/d/1D_axBh1EDZSCIsO0WMhR5QgPETDdCLev/view?usp=drivesdk","Fate Kaleid Liner Prisma Illya - JumpChain.pdf")</f>
        <v>Fate Kaleid Liner Prisma Illya - JumpChain.pdf</v>
      </c>
      <c r="B208" s="12" t="str">
        <f t="shared" si="45"/>
        <v>DriveAnon's 4chan Drive/2. EVERYONE ELSE'S JUMPS/3. Series/Type Moon/Fate-JumpChain</v>
      </c>
    </row>
    <row r="209">
      <c r="A209" s="12" t="str">
        <f>HYPERLINK("https://drive.google.com/file/d/1NTkjH8iaYJ390UMcwFP4LZ3MJEuXZ-TK/view?usp=drivesdk","CARNIVAL PHANTASM JumpChain.pdf")</f>
        <v>CARNIVAL PHANTASM JumpChain.pdf</v>
      </c>
      <c r="B209" s="12" t="str">
        <f t="shared" si="45"/>
        <v>DriveAnon's 4chan Drive/2. EVERYONE ELSE'S JUMPS/3. Series/Type Moon/Fate-JumpChain</v>
      </c>
    </row>
    <row r="210">
      <c r="A210" s="12" t="str">
        <f>HYPERLINK("https://drive.google.com/file/d/1qsWlRuavikcG17pg-2mFNNI1jNsoXxZf/view?usp=drivesdk","Fate Grand Order DLC Scenarios.pdf")</f>
        <v>Fate Grand Order DLC Scenarios.pdf</v>
      </c>
      <c r="B210" s="12" t="str">
        <f t="shared" si="45"/>
        <v>DriveAnon's 4chan Drive/2. EVERYONE ELSE'S JUMPS/3. Series/Type Moon/Fate-JumpChain</v>
      </c>
    </row>
    <row r="211">
      <c r="A211" s="12" t="str">
        <f>HYPERLINK("https://drive.google.com/file/d/1R7T8hWL63uCwXTNWXwmHF4Z-RHdJNbP3/view?usp=drivesdk","Fate Grand Order.pdf")</f>
        <v>Fate Grand Order.pdf</v>
      </c>
      <c r="B211" s="12" t="str">
        <f t="shared" si="45"/>
        <v>DriveAnon's 4chan Drive/2. EVERYONE ELSE'S JUMPS/3. Series/Type Moon/Fate-JumpChain</v>
      </c>
    </row>
    <row r="212">
      <c r="A212" s="12" t="str">
        <f>HYPERLINK("https://drive.google.com/file/d/1ZpejTgHSC-SOkxE0Yt2Bi-LcNZNR1uR3/view?usp=drivesdk","Fate Stay Night.pdf")</f>
        <v>Fate Stay Night.pdf</v>
      </c>
      <c r="B212" s="12" t="str">
        <f t="shared" si="45"/>
        <v>DriveAnon's 4chan Drive/2. EVERYONE ELSE'S JUMPS/3. Series/Type Moon/Fate-JumpChain</v>
      </c>
    </row>
    <row r="213">
      <c r="A213" s="12" t="str">
        <f>HYPERLINK("https://drive.google.com/file/d/1FuEzKU8kP23jdrw6TC7rvDqDrZ3wgrx1/view?usp=drivesdk","Fate Zero.pdf")</f>
        <v>Fate Zero.pdf</v>
      </c>
      <c r="B213" s="12" t="str">
        <f t="shared" si="45"/>
        <v>DriveAnon's 4chan Drive/2. EVERYONE ELSE'S JUMPS/3. Series/Type Moon/Fate-JumpChain</v>
      </c>
    </row>
    <row r="214">
      <c r="A214" s="12" t="str">
        <f>HYPERLINK("https://drive.google.com/file/d/18R_vOUEXtFTQVGgx-zjS2AoRb3D5r0jB/view?usp=drivesdk","Fate Extella.pdf")</f>
        <v>Fate Extella.pdf</v>
      </c>
      <c r="B214" s="12" t="str">
        <f t="shared" si="45"/>
        <v>DriveAnon's 4chan Drive/2. EVERYONE ELSE'S JUMPS/3. Series/Type Moon/Fate-JumpChain</v>
      </c>
    </row>
    <row r="215">
      <c r="A215" s="12" t="str">
        <f>HYPERLINK("https://drive.google.com/file/d/1H8tcmn5QZM0KIfpdh0esxCDK-viR0k1j/view?usp=drivesdk","Traveler_s Gate JumpChain.pdf")</f>
        <v>Traveler_s Gate JumpChain.pdf</v>
      </c>
      <c r="B215" s="12" t="str">
        <f t="shared" ref="B215:B216" si="46">HYPERLINK("https://drive.google.com/drive/folders/1FOubuxabdQmd9VSijfVej-kYN49CyE2-","DriveAnon's 4chan Drive/2. EVERYONE ELSE'S JUMPS/3. Series/Traveler_s Gate")</f>
        <v>DriveAnon's 4chan Drive/2. EVERYONE ELSE'S JUMPS/3. Series/Traveler_s Gate</v>
      </c>
    </row>
    <row r="216">
      <c r="A216" s="12" t="str">
        <f>HYPERLINK("https://drive.google.com/file/d/1y-BVnL8GVwRlf-z1Kf_jIzKVQ3zHW9UX/view?usp=drivesdk","Traveler_s Gate Territory Creation Supplement.pdf")</f>
        <v>Traveler_s Gate Territory Creation Supplement.pdf</v>
      </c>
      <c r="B216" s="12" t="str">
        <f t="shared" si="46"/>
        <v>DriveAnon's 4chan Drive/2. EVERYONE ELSE'S JUMPS/3. Series/Traveler_s Gate</v>
      </c>
    </row>
    <row r="217">
      <c r="A217" s="12" t="str">
        <f>HYPERLINK("https://drive.google.com/file/d/16ZjRUYzmVER8_-2E_u6VNHyaEjEImSmw/view?usp=drivesdk","Beast Wars JumpChain.pdf")</f>
        <v>Beast Wars JumpChain.pdf</v>
      </c>
      <c r="B217" s="12" t="str">
        <f t="shared" ref="B217:B218" si="47">HYPERLINK("https://drive.google.com/drive/folders/1vCSHjouCNotvWTabiJAOW2k9MiyKVbhC","DriveAnon's 4chan Drive/2. EVERYONE ELSE'S JUMPS/3. Series/Transformers")</f>
        <v>DriveAnon's 4chan Drive/2. EVERYONE ELSE'S JUMPS/3. Series/Transformers</v>
      </c>
    </row>
    <row r="218">
      <c r="A218" s="12" t="str">
        <f>HYPERLINK("https://drive.google.com/file/d/1A_tyX4ReoG79EFflzM70s-liXilCEJuT/view?usp=drivesdk","Transformers JumpChain.pdf")</f>
        <v>Transformers JumpChain.pdf</v>
      </c>
      <c r="B218" s="12" t="str">
        <f t="shared" si="47"/>
        <v>DriveAnon's 4chan Drive/2. EVERYONE ELSE'S JUMPS/3. Series/Transformers</v>
      </c>
    </row>
    <row r="219">
      <c r="A219" s="12" t="str">
        <f>HYPERLINK("https://drive.google.com/file/d/1MJvPxkfzKbMtytkNhdOwNj-t6zfONgeN/view?usp=drivesdk","Reimu's Awesome Holiday.pdf")</f>
        <v>Reimu's Awesome Holiday.pdf</v>
      </c>
      <c r="B219" s="12" t="str">
        <f t="shared" ref="B219:B224" si="48">HYPERLINK("https://drive.google.com/drive/folders/15rxnNBWg-BJTG_364HYHy_SufMzrwWkb","DriveAnon's 4chan Drive/2. EVERYONE ELSE'S JUMPS/3. Series/Touhou Project")</f>
        <v>DriveAnon's 4chan Drive/2. EVERYONE ELSE'S JUMPS/3. Series/Touhou Project</v>
      </c>
    </row>
    <row r="220">
      <c r="A220" s="12" t="str">
        <f>HYPERLINK("https://drive.google.com/file/d/152WkK4xdUQF_tsg70cs9Y5xMp8KBVGsn/view?usp=drivesdk","Touhou Project Jumpchain CYOA v1.5 Final - Original Edition.pdf")</f>
        <v>Touhou Project Jumpchain CYOA v1.5 Final - Original Edition.pdf</v>
      </c>
      <c r="B220" s="12" t="str">
        <f t="shared" si="48"/>
        <v>DriveAnon's 4chan Drive/2. EVERYONE ELSE'S JUMPS/3. Series/Touhou Project</v>
      </c>
    </row>
    <row r="221">
      <c r="A221" s="12" t="str">
        <f>HYPERLINK("https://drive.google.com/file/d/16pZgpnsDN2I0OvObuncMOIa7xviCOMt4/view?usp=drivesdk","Rinnosuke Doujin (Hidefu Kitayan) JumpChain.pdf")</f>
        <v>Rinnosuke Doujin (Hidefu Kitayan) JumpChain.pdf</v>
      </c>
      <c r="B221" s="12" t="str">
        <f t="shared" si="48"/>
        <v>DriveAnon's 4chan Drive/2. EVERYONE ELSE'S JUMPS/3. Series/Touhou Project</v>
      </c>
    </row>
    <row r="222">
      <c r="A222" s="12" t="str">
        <f>HYPERLINK("https://drive.google.com/file/d/1aFpXYdD-uIDIy2rUZtmNiDOIF0Wmak7Q/view?usp=drivesdk","Touhou Project Jumpchain CYOA v1.5 Final - Parasol Paradise Edition.pdf")</f>
        <v>Touhou Project Jumpchain CYOA v1.5 Final - Parasol Paradise Edition.pdf</v>
      </c>
      <c r="B222" s="12" t="str">
        <f t="shared" si="48"/>
        <v>DriveAnon's 4chan Drive/2. EVERYONE ELSE'S JUMPS/3. Series/Touhou Project</v>
      </c>
    </row>
    <row r="223">
      <c r="A223" s="12" t="str">
        <f>HYPERLINK("https://drive.google.com/file/d/1fDluedOcdwKdin-Pgh8e1HXqzM0m6iIc/view?usp=drivesdk","Touhou Luna Nights JumpChain.pdf")</f>
        <v>Touhou Luna Nights JumpChain.pdf</v>
      </c>
      <c r="B223" s="12" t="str">
        <f t="shared" si="48"/>
        <v>DriveAnon's 4chan Drive/2. EVERYONE ELSE'S JUMPS/3. Series/Touhou Project</v>
      </c>
    </row>
    <row r="224">
      <c r="A224" s="12" t="str">
        <f>HYPERLINK("https://drive.google.com/file/d/1CRx6Qprm1G2MoJuSffxl7pCfl-hEgGB_/view?usp=drivesdk","Touhou Forbidden Hermit JumpChain.pdf")</f>
        <v>Touhou Forbidden Hermit JumpChain.pdf</v>
      </c>
      <c r="B224" s="12" t="str">
        <f t="shared" si="48"/>
        <v>DriveAnon's 4chan Drive/2. EVERYONE ELSE'S JUMPS/3. Series/Touhou Project</v>
      </c>
    </row>
    <row r="225">
      <c r="A225" s="12" t="str">
        <f>HYPERLINK("https://drive.google.com/file/d/1rGAl3_7gvMQ3mjQpVLS4LqYrE5P0QB2k/view?usp=drivesdk","The Great Game Part I – You Are the Quarry JumpChain.pdf")</f>
        <v>The Great Game Part I – You Are the Quarry JumpChain.pdf</v>
      </c>
      <c r="B225" s="12" t="str">
        <f>HYPERLINK("https://drive.google.com/drive/folders/180bqvtS3qEw4QSmOwZhYPUlub4CeMWlq","DriveAnon's 4chan Drive/2. EVERYONE ELSE'S JUMPS/3. Series/The Great Game")</f>
        <v>DriveAnon's 4chan Drive/2. EVERYONE ELSE'S JUMPS/3. Series/The Great Game</v>
      </c>
    </row>
    <row r="226">
      <c r="A226" s="12" t="str">
        <f>HYPERLINK("https://drive.google.com/file/d/1Nrf-CF3jCI5UUSYSAEgGoaRb33X_lHXK/view?usp=drivesdk","The Elder Scrolls IV - Oblivion (Stupid_dog's Version).pdf")</f>
        <v>The Elder Scrolls IV - Oblivion (Stupid_dog's Version).pdf</v>
      </c>
      <c r="B226" s="12" t="str">
        <f t="shared" ref="B226:B232" si="49">HYPERLINK("https://drive.google.com/drive/folders/19ig8AUXvMbQutrp-TMdABB5wuZ-f0lXR","DriveAnon's 4chan Drive/2. EVERYONE ELSE'S JUMPS/3. Series/The Elder Scrolls")</f>
        <v>DriveAnon's 4chan Drive/2. EVERYONE ELSE'S JUMPS/3. Series/The Elder Scrolls</v>
      </c>
    </row>
    <row r="227">
      <c r="A227" s="12" t="str">
        <f>HYPERLINK("https://drive.google.com/file/d/1s8_qClQPuDTcwnIpytm--lOnrcKyWeLQ/view?usp=drivesdk","The Elder Scrolls V - Skyrim  (Stupid_dog's Version).pdf")</f>
        <v>The Elder Scrolls V - Skyrim  (Stupid_dog's Version).pdf</v>
      </c>
      <c r="B227" s="12" t="str">
        <f t="shared" si="49"/>
        <v>DriveAnon's 4chan Drive/2. EVERYONE ELSE'S JUMPS/3. Series/The Elder Scrolls</v>
      </c>
    </row>
    <row r="228">
      <c r="A228" s="12" t="str">
        <f>HYPERLINK("https://drive.google.com/file/d/1hw12N-9hR2-q4vYPS_AgBHEp5s4WgiBG/view?usp=drivesdk","The Elder Scrolls III - Morrowind.pdf")</f>
        <v>The Elder Scrolls III - Morrowind.pdf</v>
      </c>
      <c r="B228" s="12" t="str">
        <f t="shared" si="49"/>
        <v>DriveAnon's 4chan Drive/2. EVERYONE ELSE'S JUMPS/3. Series/The Elder Scrolls</v>
      </c>
    </row>
    <row r="229">
      <c r="A229" s="12" t="str">
        <f>HYPERLINK("https://drive.google.com/file/d/1FKRaBJMuA_Hdg5yayDEr_r6ataPIszZE/view?usp=drivesdk","TES V - Skyrim (By SkyrimAnon).pdf")</f>
        <v>TES V - Skyrim (By SkyrimAnon).pdf</v>
      </c>
      <c r="B229" s="12" t="str">
        <f t="shared" si="49"/>
        <v>DriveAnon's 4chan Drive/2. EVERYONE ELSE'S JUMPS/3. Series/The Elder Scrolls</v>
      </c>
    </row>
    <row r="230">
      <c r="A230" s="12" t="str">
        <f>HYPERLINK("https://drive.google.com/file/d/1I1WebjalejAr-t3ADDelYU0GYkbpdQAr/view?usp=drivesdk","Elder Scrolls- Online JumpChain.pdf")</f>
        <v>Elder Scrolls- Online JumpChain.pdf</v>
      </c>
      <c r="B230" s="12" t="str">
        <f t="shared" si="49"/>
        <v>DriveAnon's 4chan Drive/2. EVERYONE ELSE'S JUMPS/3. Series/The Elder Scrolls</v>
      </c>
    </row>
    <row r="231">
      <c r="A231" s="12" t="str">
        <f>HYPERLINK("https://drive.google.com/file/d/1lbUesFogbb_-m67ViG0C0nmw0KbUuZXH/view?usp=drivesdk","Morroblivion JumpChain.pdf")</f>
        <v>Morroblivion JumpChain.pdf</v>
      </c>
      <c r="B231" s="12" t="str">
        <f t="shared" si="49"/>
        <v>DriveAnon's 4chan Drive/2. EVERYONE ELSE'S JUMPS/3. Series/The Elder Scrolls</v>
      </c>
    </row>
    <row r="232">
      <c r="A232" s="12" t="str">
        <f>HYPERLINK("https://drive.google.com/file/d/1wv4mdqZmKBLiSrSOffkaUFoLOt0-figB/view?usp=drivesdk","The Elder Scrolls- Skyrim JumpChain.pdf")</f>
        <v>The Elder Scrolls- Skyrim JumpChain.pdf</v>
      </c>
      <c r="B232" s="12" t="str">
        <f t="shared" si="49"/>
        <v>DriveAnon's 4chan Drive/2. EVERYONE ELSE'S JUMPS/3. Series/The Elder Scrolls</v>
      </c>
    </row>
    <row r="233">
      <c r="A233" s="12" t="str">
        <f>HYPERLINK("https://drive.google.com/file/d/1xmQC03OektiXFd84h-9QKRTMH7JOOpem/view?usp=drivesdk","The Elder Scrolls JumpChain.pdf")</f>
        <v>The Elder Scrolls JumpChain.pdf</v>
      </c>
      <c r="B233" s="12" t="str">
        <f>HYPERLINK("https://drive.google.com/drive/folders/1YrFz9Wt1D9_ATYq5Lg1p5xYMctnIZAVh","DriveAnon's 4chan Drive/2. EVERYONE ELSE'S JUMPS/3. Series/The Elder Scrolls/Old Jump")</f>
        <v>DriveAnon's 4chan Drive/2. EVERYONE ELSE'S JUMPS/3. Series/The Elder Scrolls/Old Jump</v>
      </c>
    </row>
    <row r="234">
      <c r="A234" s="12" t="str">
        <f>HYPERLINK("https://drive.google.com/file/d/1SPbwfkoB8NExpnP21JYVveliiclZd940/view?usp=drivesdk","The Incredibles JumpChain.pdf")</f>
        <v>The Incredibles JumpChain.pdf</v>
      </c>
      <c r="B234" s="12" t="str">
        <f t="shared" ref="B234:B235" si="50">HYPERLINK("https://drive.google.com/drive/folders/1F_PeWsU98W33gFrW5V_ESsjv2vUwC8xj","DriveAnon's 4chan Drive/2. EVERYONE ELSE'S JUMPS/3. Series/The Incredibles")</f>
        <v>DriveAnon's 4chan Drive/2. EVERYONE ELSE'S JUMPS/3. Series/The Incredibles</v>
      </c>
    </row>
    <row r="235">
      <c r="A235" s="12" t="str">
        <f>HYPERLINK("https://drive.google.com/file/d/1Vt5taq1tzoWotAAIvcaPGisWSt5bcIsd/view?usp=drivesdk","The Incredibles JumpChain v1.7 - Unimaged.pdf")</f>
        <v>The Incredibles JumpChain v1.7 - Unimaged.pdf</v>
      </c>
      <c r="B235" s="12" t="str">
        <f t="shared" si="50"/>
        <v>DriveAnon's 4chan Drive/2. EVERYONE ELSE'S JUMPS/3. Series/The Incredibles</v>
      </c>
    </row>
    <row r="236">
      <c r="A236" s="12" t="str">
        <f>HYPERLINK("https://drive.google.com/file/d/1RMAaw_CEfrywz9Zf7pShGLh5afgDDiE6/view?usp=drivesdk","Team Fortress 2 JumpChain (2).pdf")</f>
        <v>Team Fortress 2 JumpChain (2).pdf</v>
      </c>
      <c r="B236" s="12" t="str">
        <f t="shared" ref="B236:B237" si="51">HYPERLINK("https://drive.google.com/drive/folders/1G4D5zZD8Wo4gTIc0eUKxrltsDjJRqMsU","DriveAnon's 4chan Drive/2. EVERYONE ELSE'S JUMPS/3. Series/TF2")</f>
        <v>DriveAnon's 4chan Drive/2. EVERYONE ELSE'S JUMPS/3. Series/TF2</v>
      </c>
    </row>
    <row r="237">
      <c r="A237" s="12" t="str">
        <f>HYPERLINK("https://drive.google.com/file/d/1xRc0wM1XVzcadvAOV32lEmrtTpX-KjI3/view?usp=drivesdk","Team Fortress 2 JumpChain (1).pdf")</f>
        <v>Team Fortress 2 JumpChain (1).pdf</v>
      </c>
      <c r="B237" s="12" t="str">
        <f t="shared" si="51"/>
        <v>DriveAnon's 4chan Drive/2. EVERYONE ELSE'S JUMPS/3. Series/TF2</v>
      </c>
    </row>
    <row r="238">
      <c r="A238" s="12" t="str">
        <f>HYPERLINK("https://drive.google.com/file/d/1nk-RwIp9ON9N9S9LOrUBxbiNyoynVEID/view?usp=drivesdk","The Sims 4.pdf")</f>
        <v>The Sims 4.pdf</v>
      </c>
      <c r="B238" s="12" t="str">
        <f t="shared" ref="B238:B239" si="52">HYPERLINK("https://drive.google.com/drive/folders/1XJl11DitR3tWcd_of3DA5kvl26NeDitT","DriveAnon's 4chan Drive/2. EVERYONE ELSE'S JUMPS/3. Series/The Sims")</f>
        <v>DriveAnon's 4chan Drive/2. EVERYONE ELSE'S JUMPS/3. Series/The Sims</v>
      </c>
    </row>
    <row r="239">
      <c r="A239" s="12" t="str">
        <f>HYPERLINK("https://drive.google.com/file/d/1cXQEuULr2BNbV3qUV95a_hTDDGX99YOn/view?usp=drivesdk","The Sims 3 JumpChain.pdf")</f>
        <v>The Sims 3 JumpChain.pdf</v>
      </c>
      <c r="B239" s="12" t="str">
        <f t="shared" si="52"/>
        <v>DriveAnon's 4chan Drive/2. EVERYONE ELSE'S JUMPS/3. Series/The Sims</v>
      </c>
    </row>
    <row r="240">
      <c r="A240" s="12" t="str">
        <f>HYPERLINK("https://drive.google.com/file/d/13pgcKglpymTSIXzt2g7VEB7ykR1NB2M9/view?usp=drivesdk","Thundercats 80s JumpChain.pdf")</f>
        <v>Thundercats 80s JumpChain.pdf</v>
      </c>
      <c r="B240" s="12" t="str">
        <f t="shared" ref="B240:B241" si="53">HYPERLINK("https://drive.google.com/drive/folders/1YCJpEwrakO1Hf9vz8EQbIQa5q95LtWV_","DriveAnon's 4chan Drive/2. EVERYONE ELSE'S JUMPS/3. Series/Thundercats")</f>
        <v>DriveAnon's 4chan Drive/2. EVERYONE ELSE'S JUMPS/3. Series/Thundercats</v>
      </c>
    </row>
    <row r="241">
      <c r="A241" s="12" t="str">
        <f>HYPERLINK("https://drive.google.com/file/d/1jDe5rJAqGWoGvIU93IxLOGT0Ay5pGMzZ/view?usp=drivesdk","Thundercats 2011 JumpChain.pdf")</f>
        <v>Thundercats 2011 JumpChain.pdf</v>
      </c>
      <c r="B241" s="12" t="str">
        <f t="shared" si="53"/>
        <v>DriveAnon's 4chan Drive/2. EVERYONE ELSE'S JUMPS/3. Series/Thundercats</v>
      </c>
    </row>
    <row r="242">
      <c r="A242" s="12" t="str">
        <f>HYPERLINK("https://drive.google.com/file/d/171h5D1EvSxAXMIx6s0UolqtoBighXWIa/view?usp=drivesdk","Temeraire Jumpchain.pdf")</f>
        <v>Temeraire Jumpchain.pdf</v>
      </c>
      <c r="B242" s="12" t="str">
        <f t="shared" ref="B242:B243" si="54">HYPERLINK("https://drive.google.com/drive/folders/1d6se5XAm5yf6cuKks9TC8pDLtFgOqo55","DriveAnon's 4chan Drive/2. EVERYONE ELSE'S JUMPS/3. Series/Temeraire")</f>
        <v>DriveAnon's 4chan Drive/2. EVERYONE ELSE'S JUMPS/3. Series/Temeraire</v>
      </c>
    </row>
    <row r="243">
      <c r="A243" s="12" t="str">
        <f>HYPERLINK("https://drive.google.com/file/d/1GRZ6NTWF2mM9Kl_7Hi4dsRZpm13F6T4C/view?usp=drivesdk","Temeraire Dragon Builder.pdf")</f>
        <v>Temeraire Dragon Builder.pdf</v>
      </c>
      <c r="B243" s="12" t="str">
        <f t="shared" si="54"/>
        <v>DriveAnon's 4chan Drive/2. EVERYONE ELSE'S JUMPS/3. Series/Temeraire</v>
      </c>
    </row>
    <row r="244">
      <c r="A244" s="12" t="str">
        <f>HYPERLINK("https://drive.google.com/file/d/1R5Yw8tiRkH8mfnWA5tvK8lPEkkmyqRmu/view?usp=drivesdk","Tales of Phantasia JumpChain.pdf")</f>
        <v>Tales of Phantasia JumpChain.pdf</v>
      </c>
      <c r="B244" s="12" t="str">
        <f t="shared" ref="B244:B246" si="55">HYPERLINK("https://drive.google.com/drive/folders/1C-zfj7eGmyGUEambJj3eI7dw9sQZQGAO","DriveAnon's 4chan Drive/2. EVERYONE ELSE'S JUMPS/3. Series/Tales Series")</f>
        <v>DriveAnon's 4chan Drive/2. EVERYONE ELSE'S JUMPS/3. Series/Tales Series</v>
      </c>
    </row>
    <row r="245">
      <c r="A245" s="12" t="str">
        <f>HYPERLINK("https://drive.google.com/file/d/1T28f8TSng9UaSuYUEd48L_9AmhskAZT1/view?usp=drivesdk","Tales of Symphonia JumpChain.pdf")</f>
        <v>Tales of Symphonia JumpChain.pdf</v>
      </c>
      <c r="B245" s="12" t="str">
        <f t="shared" si="55"/>
        <v>DriveAnon's 4chan Drive/2. EVERYONE ELSE'S JUMPS/3. Series/Tales Series</v>
      </c>
    </row>
    <row r="246">
      <c r="A246" s="12" t="str">
        <f>HYPERLINK("https://drive.google.com/file/d/1g7PVNfFl-Byq5MTLuLxtYqwGCPtvfTnL/view?usp=drivesdk","Tales of Vesperia JumpChain.pdf")</f>
        <v>Tales of Vesperia JumpChain.pdf</v>
      </c>
      <c r="B246" s="12" t="str">
        <f t="shared" si="55"/>
        <v>DriveAnon's 4chan Drive/2. EVERYONE ELSE'S JUMPS/3. Series/Tales Series</v>
      </c>
    </row>
    <row r="247">
      <c r="A247" s="12" t="str">
        <f>HYPERLINK("https://drive.google.com/file/d/1Q7Nt4lP-8ihkexhZjdR5LIGgwg0ej_E5/view?usp=drivesdk","System Shock 2 JumpChain.pdf")</f>
        <v>System Shock 2 JumpChain.pdf</v>
      </c>
      <c r="B247" s="12" t="str">
        <f t="shared" ref="B247:B248" si="56">HYPERLINK("https://drive.google.com/drive/folders/1zc57fjQYOhnU-ZGwnxYH5h7MMNXMVpcN","DriveAnon's 4chan Drive/2. EVERYONE ELSE'S JUMPS/3. Series/System Shock")</f>
        <v>DriveAnon's 4chan Drive/2. EVERYONE ELSE'S JUMPS/3. Series/System Shock</v>
      </c>
    </row>
    <row r="248">
      <c r="A248" s="12" t="str">
        <f>HYPERLINK("https://drive.google.com/file/d/1zSeTDaX6k12ddlSN_jBm7urGUxgIRIi5/view?usp=drivesdk","System Shock JumpChain.pdf")</f>
        <v>System Shock JumpChain.pdf</v>
      </c>
      <c r="B248" s="12" t="str">
        <f t="shared" si="56"/>
        <v>DriveAnon's 4chan Drive/2. EVERYONE ELSE'S JUMPS/3. Series/System Shock</v>
      </c>
    </row>
    <row r="249">
      <c r="A249" s="12" t="str">
        <f>HYPERLINK("https://drive.google.com/file/d/1FppQvr0EHhb8nMa9wNwwKl_450FNDlyP/view?usp=drivesdk","Sonic and The Black Knight.pdf")</f>
        <v>Sonic and The Black Knight.pdf</v>
      </c>
      <c r="B249" s="12" t="str">
        <f t="shared" ref="B249:B257" si="57">HYPERLINK("https://drive.google.com/drive/folders/14r89jiZ5xbJpPACLAW2afPwwjy5BwGGv","DriveAnon's 4chan Drive/2. EVERYONE ELSE'S JUMPS/3. Series/Sonic")</f>
        <v>DriveAnon's 4chan Drive/2. EVERYONE ELSE'S JUMPS/3. Series/Sonic</v>
      </c>
    </row>
    <row r="250">
      <c r="A250" s="12" t="str">
        <f>HYPERLINK("https://drive.google.com/file/d/13afIy7Vqh7XWsXCG0DDDiQMYkv1fgR9E/view?usp=drivesdk","Sonic X.pdf")</f>
        <v>Sonic X.pdf</v>
      </c>
      <c r="B250" s="12" t="str">
        <f t="shared" si="57"/>
        <v>DriveAnon's 4chan Drive/2. EVERYONE ELSE'S JUMPS/3. Series/Sonic</v>
      </c>
    </row>
    <row r="251">
      <c r="A251" s="12" t="str">
        <f>HYPERLINK("https://drive.google.com/file/d/1-KDa6Fbdt5B4BASvQ9_4v3I5f4IVCiD9/view?usp=drivesdk","Shadow the Hedgehog.pdf")</f>
        <v>Shadow the Hedgehog.pdf</v>
      </c>
      <c r="B251" s="12" t="str">
        <f t="shared" si="57"/>
        <v>DriveAnon's 4chan Drive/2. EVERYONE ELSE'S JUMPS/3. Series/Sonic</v>
      </c>
    </row>
    <row r="252">
      <c r="A252" s="12" t="str">
        <f>HYPERLINK("https://drive.google.com/file/d/1k1FAlaiwYXYcZKYRe60uBXud0jjTO-CR/view?usp=drivesdk","Sonic the Hedgehog (Movie).pdf")</f>
        <v>Sonic the Hedgehog (Movie).pdf</v>
      </c>
      <c r="B252" s="12" t="str">
        <f t="shared" si="57"/>
        <v>DriveAnon's 4chan Drive/2. EVERYONE ELSE'S JUMPS/3. Series/Sonic</v>
      </c>
    </row>
    <row r="253">
      <c r="A253" s="12" t="str">
        <f>HYPERLINK("https://drive.google.com/file/d/1sMCikpI84U_xCsGVT8KHcssj8S7HtX0_/view?usp=drivesdk","Archie Sonic Universe Adventures Supplement.pdf")</f>
        <v>Archie Sonic Universe Adventures Supplement.pdf</v>
      </c>
      <c r="B253" s="12" t="str">
        <f t="shared" si="57"/>
        <v>DriveAnon's 4chan Drive/2. EVERYONE ELSE'S JUMPS/3. Series/Sonic</v>
      </c>
    </row>
    <row r="254">
      <c r="A254" s="12" t="str">
        <f>HYPERLINK("https://drive.google.com/file/d/1Koph_DE-pf9ToeJ4cTMQes18TbR2H1n7/view?usp=drivesdk","Archie Sonic Universe JumpChain.pdf")</f>
        <v>Archie Sonic Universe JumpChain.pdf</v>
      </c>
      <c r="B254" s="12" t="str">
        <f t="shared" si="57"/>
        <v>DriveAnon's 4chan Drive/2. EVERYONE ELSE'S JUMPS/3. Series/Sonic</v>
      </c>
    </row>
    <row r="255">
      <c r="A255" s="12" t="str">
        <f>HYPERLINK("https://drive.google.com/file/d/1lRTh1DnuGGXJazanjjB-agGjdPefEYLE/view?usp=drivesdk","Sonic The Hedgehog JumpChain.pdf")</f>
        <v>Sonic The Hedgehog JumpChain.pdf</v>
      </c>
      <c r="B255" s="12" t="str">
        <f t="shared" si="57"/>
        <v>DriveAnon's 4chan Drive/2. EVERYONE ELSE'S JUMPS/3. Series/Sonic</v>
      </c>
    </row>
    <row r="256">
      <c r="A256" s="12" t="str">
        <f>HYPERLINK("https://drive.google.com/file/d/1sdos4UF3UQVcXDTiAJiwdMr6A37qVGJm/view?usp=drivesdk","Classic Sonic JumpChain.pdf")</f>
        <v>Classic Sonic JumpChain.pdf</v>
      </c>
      <c r="B256" s="12" t="str">
        <f t="shared" si="57"/>
        <v>DriveAnon's 4chan Drive/2. EVERYONE ELSE'S JUMPS/3. Series/Sonic</v>
      </c>
    </row>
    <row r="257">
      <c r="A257" s="12" t="str">
        <f>HYPERLINK("https://drive.google.com/file/d/1BH6DleCJG-bX1IETMcXaJ-qSrbyALAgS/view?usp=drivesdk","Tails Gets Trolled Jumpchain.pdf")</f>
        <v>Tails Gets Trolled Jumpchain.pdf</v>
      </c>
      <c r="B257" s="12" t="str">
        <f t="shared" si="57"/>
        <v>DriveAnon's 4chan Drive/2. EVERYONE ELSE'S JUMPS/3. Series/Sonic</v>
      </c>
    </row>
    <row r="258">
      <c r="A258" s="12" t="str">
        <f>HYPERLINK("https://drive.google.com/file/d/1HpfdrcA2K8ZJiatqITPC9uiGOiJaYaxF/view?usp=drivesdk","StarCraft - The Zerg (By Lone Valkyrie).pdf")</f>
        <v>StarCraft - The Zerg (By Lone Valkyrie).pdf</v>
      </c>
      <c r="B258" s="12" t="str">
        <f t="shared" ref="B258:B263" si="58">HYPERLINK("https://drive.google.com/drive/folders/19M4RnkAvBFgz2poRiyElImPN0RiFT_Nv","DriveAnon's 4chan Drive/2. EVERYONE ELSE'S JUMPS/3. Series/Starcraft")</f>
        <v>DriveAnon's 4chan Drive/2. EVERYONE ELSE'S JUMPS/3. Series/Starcraft</v>
      </c>
    </row>
    <row r="259">
      <c r="A259" s="12" t="str">
        <f>HYPERLINK("https://drive.google.com/file/d/1vKzE_yPye3n16iVZzK169nDVzPhs9-Hz/view?usp=drivesdk","StarCraft - The Terrans (By Lone Valkyrie).pdf")</f>
        <v>StarCraft - The Terrans (By Lone Valkyrie).pdf</v>
      </c>
      <c r="B259" s="12" t="str">
        <f t="shared" si="58"/>
        <v>DriveAnon's 4chan Drive/2. EVERYONE ELSE'S JUMPS/3. Series/Starcraft</v>
      </c>
    </row>
    <row r="260">
      <c r="A260" s="12" t="str">
        <f>HYPERLINK("https://drive.google.com/file/d/1OXEjgmUXzjiSbskGNufCXadfFtySpu0U/view?usp=drivesdk","Starcraft - The Protoss.pdf")</f>
        <v>Starcraft - The Protoss.pdf</v>
      </c>
      <c r="B260" s="12" t="str">
        <f t="shared" si="58"/>
        <v>DriveAnon's 4chan Drive/2. EVERYONE ELSE'S JUMPS/3. Series/Starcraft</v>
      </c>
    </row>
    <row r="261">
      <c r="A261" s="12" t="str">
        <f>HYPERLINK("https://drive.google.com/file/d/15U_eFw49gdvcJ5TFQdrVIZlmuD7bze11/view?usp=drivesdk","Starcraft- The Zerg JumpChain.pdf")</f>
        <v>Starcraft- The Zerg JumpChain.pdf</v>
      </c>
      <c r="B261" s="12" t="str">
        <f t="shared" si="58"/>
        <v>DriveAnon's 4chan Drive/2. EVERYONE ELSE'S JUMPS/3. Series/Starcraft</v>
      </c>
    </row>
    <row r="262">
      <c r="A262" s="12" t="str">
        <f>HYPERLINK("https://drive.google.com/file/d/1GBumdVpPMNPPX-RIs62grvzGrXYFGNde/view?usp=drivesdk","Starcraft- The Terran JumpChain.pdf")</f>
        <v>Starcraft- The Terran JumpChain.pdf</v>
      </c>
      <c r="B262" s="12" t="str">
        <f t="shared" si="58"/>
        <v>DriveAnon's 4chan Drive/2. EVERYONE ELSE'S JUMPS/3. Series/Starcraft</v>
      </c>
    </row>
    <row r="263">
      <c r="A263" s="12" t="str">
        <f>HYPERLINK("https://drive.google.com/file/d/1M3Zoja-9icB2oNhAlNbMAp81Trrilrv1/view?usp=drivesdk","StarCraft- Xel’Naga Scenario.pdf")</f>
        <v>StarCraft- Xel’Naga Scenario.pdf</v>
      </c>
      <c r="B263" s="12" t="str">
        <f t="shared" si="58"/>
        <v>DriveAnon's 4chan Drive/2. EVERYONE ELSE'S JUMPS/3. Series/Starcraft</v>
      </c>
    </row>
    <row r="264">
      <c r="A264" s="12" t="str">
        <f>HYPERLINK("https://drive.google.com/file/d/1rBTsuDcy3YUsgyW2dGFNqFCh6xkZv5jt/view?usp=drivesdk","Stargate Atlantis.pdf")</f>
        <v>Stargate Atlantis.pdf</v>
      </c>
      <c r="B264" s="12" t="str">
        <f t="shared" ref="B264:B265" si="59">HYPERLINK("https://drive.google.com/drive/folders/1BVnDaqqtmsXQPg3dcW-30sDGOumKIVFM","DriveAnon's 4chan Drive/2. EVERYONE ELSE'S JUMPS/3. Series/Stargate")</f>
        <v>DriveAnon's 4chan Drive/2. EVERYONE ELSE'S JUMPS/3. Series/Stargate</v>
      </c>
    </row>
    <row r="265">
      <c r="A265" s="12" t="str">
        <f>HYPERLINK("https://drive.google.com/file/d/1BqKDiudpsyPfF1RrEnZ8_OCTJQ9jZ3G4/view?usp=drivesdk","Stargate SG-1 JumpChain.pdf")</f>
        <v>Stargate SG-1 JumpChain.pdf</v>
      </c>
      <c r="B265" s="12" t="str">
        <f t="shared" si="59"/>
        <v>DriveAnon's 4chan Drive/2. EVERYONE ELSE'S JUMPS/3. Series/Stargate</v>
      </c>
    </row>
    <row r="266">
      <c r="A266" s="12" t="str">
        <f>HYPERLINK("https://drive.google.com/file/d/1Gd5RvFZrVr-602FxjG8gQEEFCfo96SfY/view?usp=drivesdk","International Era Super Robot Wars.pdf")</f>
        <v>International Era Super Robot Wars.pdf</v>
      </c>
      <c r="B266" s="12" t="str">
        <f t="shared" ref="B266:B268" si="60">HYPERLINK("https://drive.google.com/drive/folders/1D0I7CWgQ3nY7Q9EO9A5eIRwnaaniNXJ_","DriveAnon's 4chan Drive/2. EVERYONE ELSE'S JUMPS/3. Series/Super Robot War")</f>
        <v>DriveAnon's 4chan Drive/2. EVERYONE ELSE'S JUMPS/3. Series/Super Robot War</v>
      </c>
    </row>
    <row r="267">
      <c r="A267" s="12" t="str">
        <f>HYPERLINK("https://drive.google.com/file/d/1DFZskR4IZFnkxFrtxVyHFjsthYWZAyB5/view?usp=drivesdk","SuperRobot Wars OG Saga Endless Frontier Jumpchain.pdf")</f>
        <v>SuperRobot Wars OG Saga Endless Frontier Jumpchain.pdf</v>
      </c>
      <c r="B267" s="12" t="str">
        <f t="shared" si="60"/>
        <v>DriveAnon's 4chan Drive/2. EVERYONE ELSE'S JUMPS/3. Series/Super Robot War</v>
      </c>
    </row>
    <row r="268">
      <c r="A268" s="12" t="str">
        <f>HYPERLINK("https://drive.google.com/file/d/1m6QHDWblk-MQE8kG8cykz89dFFz-27RA/view?usp=drivesdk","Super Robot Wars Original Jumperations The Moon Dwellers.pdf")</f>
        <v>Super Robot Wars Original Jumperations The Moon Dwellers.pdf</v>
      </c>
      <c r="B268" s="12" t="str">
        <f t="shared" si="60"/>
        <v>DriveAnon's 4chan Drive/2. EVERYONE ELSE'S JUMPS/3. Series/Super Robot War</v>
      </c>
    </row>
    <row r="269">
      <c r="A269" s="12" t="str">
        <f>HYPERLINK("https://drive.google.com/file/d/1_dMGENBV_OTgQyo8jJB-mtJAa-AHK0QI/view?usp=drivesdk","Star Wars – Darth Plagueis.pdf")</f>
        <v>Star Wars – Darth Plagueis.pdf</v>
      </c>
      <c r="B269" s="12" t="str">
        <f t="shared" ref="B269:B279" si="61">HYPERLINK("https://drive.google.com/drive/folders/1bzWfv8OCeoBkabD6BOSSgMXHEnVW_p5D","DriveAnon's 4chan Drive/2. EVERYONE ELSE'S JUMPS/3. Series/Star Wars")</f>
        <v>DriveAnon's 4chan Drive/2. EVERYONE ELSE'S JUMPS/3. Series/Star Wars</v>
      </c>
    </row>
    <row r="270">
      <c r="A270" s="12" t="str">
        <f>HYPERLINK("https://drive.google.com/file/d/168nPHaqNjm1dR9z5YwbJqkuRY3C-utQD/view?usp=drivesdk","Star Wars - Sequel Trilogy.pdf")</f>
        <v>Star Wars - Sequel Trilogy.pdf</v>
      </c>
      <c r="B270" s="12" t="str">
        <f t="shared" si="61"/>
        <v>DriveAnon's 4chan Drive/2. EVERYONE ELSE'S JUMPS/3. Series/Star Wars</v>
      </c>
    </row>
    <row r="271">
      <c r="A271" s="12" t="str">
        <f>HYPERLINK("https://drive.google.com/file/d/1BhpadJNdeYHFE1nPM9BdeQeEY7Kj0Cbt/view?usp=drivesdk","Tales of the Jedi.pdf")</f>
        <v>Tales of the Jedi.pdf</v>
      </c>
      <c r="B271" s="12" t="str">
        <f t="shared" si="61"/>
        <v>DriveAnon's 4chan Drive/2. EVERYONE ELSE'S JUMPS/3. Series/Star Wars</v>
      </c>
    </row>
    <row r="272">
      <c r="A272" s="12" t="str">
        <f>HYPERLINK("https://drive.google.com/file/d/1Bsgzk8s9PUyO-4zNwmY1-Zj0H6W_yJRl/view?usp=drivesdk","Star Wars - Clone Wars JumpChain.pdf")</f>
        <v>Star Wars - Clone Wars JumpChain.pdf</v>
      </c>
      <c r="B272" s="12" t="str">
        <f t="shared" si="61"/>
        <v>DriveAnon's 4chan Drive/2. EVERYONE ELSE'S JUMPS/3. Series/Star Wars</v>
      </c>
    </row>
    <row r="273">
      <c r="A273" s="12" t="str">
        <f>HYPERLINK("https://drive.google.com/file/d/1Oz-X4Xlp8B-9LjU-hlHkItGNvDEA2z5o/view?usp=drivesdk","Star wars - Legacy JumpChain.pdf")</f>
        <v>Star wars - Legacy JumpChain.pdf</v>
      </c>
      <c r="B273" s="12" t="str">
        <f t="shared" si="61"/>
        <v>DriveAnon's 4chan Drive/2. EVERYONE ELSE'S JUMPS/3. Series/Star Wars</v>
      </c>
    </row>
    <row r="274">
      <c r="A274" s="12" t="str">
        <f>HYPERLINK("https://drive.google.com/file/d/1PggrA_jwcfSZgc9zyITgvlVioaott8Hm/view?usp=drivesdk","Star Wars - X-Wing Novels JumpChain.pdf")</f>
        <v>Star Wars - X-Wing Novels JumpChain.pdf</v>
      </c>
      <c r="B274" s="12" t="str">
        <f t="shared" si="61"/>
        <v>DriveAnon's 4chan Drive/2. EVERYONE ELSE'S JUMPS/3. Series/Star Wars</v>
      </c>
    </row>
    <row r="275">
      <c r="A275" s="12" t="str">
        <f>HYPERLINK("https://drive.google.com/file/d/1g5aMPl9ATx_2xUxCmZn-tPRHPdJjBKTm/view?usp=drivesdk","Star Wars Suppplement - Notes and Force Conduit Info.pdf")</f>
        <v>Star Wars Suppplement - Notes and Force Conduit Info.pdf</v>
      </c>
      <c r="B275" s="12" t="str">
        <f t="shared" si="61"/>
        <v>DriveAnon's 4chan Drive/2. EVERYONE ELSE'S JUMPS/3. Series/Star Wars</v>
      </c>
    </row>
    <row r="276">
      <c r="A276" s="12" t="str">
        <f>HYPERLINK("https://drive.google.com/file/d/1hVany1wJthT7-vPb_JLM_hXqBxMpA1Ny/view?usp=drivesdk","Star Wars - KotOR  JumpChain.pdf")</f>
        <v>Star Wars - KotOR  JumpChain.pdf</v>
      </c>
      <c r="B276" s="12" t="str">
        <f t="shared" si="61"/>
        <v>DriveAnon's 4chan Drive/2. EVERYONE ELSE'S JUMPS/3. Series/Star Wars</v>
      </c>
    </row>
    <row r="277">
      <c r="A277" s="12" t="str">
        <f>HYPERLINK("https://drive.google.com/file/d/1i5FEuHmencSo-_vUnmhHYQDIof8Ljdo7/view?usp=drivesdk","Star Wars - KotOR Text Version JumpChain.pdf")</f>
        <v>Star Wars - KotOR Text Version JumpChain.pdf</v>
      </c>
      <c r="B277" s="12" t="str">
        <f t="shared" si="61"/>
        <v>DriveAnon's 4chan Drive/2. EVERYONE ELSE'S JUMPS/3. Series/Star Wars</v>
      </c>
    </row>
    <row r="278">
      <c r="A278" s="12" t="str">
        <f>HYPERLINK("https://drive.google.com/file/d/1lxa3VUlhjCLoJgw-Xgq-LcF92wQtCTJE/view?usp=drivesdk","Auralnaut Star Wars JumpChain.pdf")</f>
        <v>Auralnaut Star Wars JumpChain.pdf</v>
      </c>
      <c r="B278" s="12" t="str">
        <f t="shared" si="61"/>
        <v>DriveAnon's 4chan Drive/2. EVERYONE ELSE'S JUMPS/3. Series/Star Wars</v>
      </c>
    </row>
    <row r="279">
      <c r="A279" s="12" t="str">
        <f>HYPERLINK("https://drive.google.com/file/d/1z73j10LtoNBOMEDLS-sEMZU3yeFIXETb/view?usp=drivesdk","Star Wars - The Original Trilogy JumpChain.pdf")</f>
        <v>Star Wars - The Original Trilogy JumpChain.pdf</v>
      </c>
      <c r="B279" s="12" t="str">
        <f t="shared" si="61"/>
        <v>DriveAnon's 4chan Drive/2. EVERYONE ELSE'S JUMPS/3. Series/Star Wars</v>
      </c>
    </row>
    <row r="280">
      <c r="A280" s="12" t="str">
        <f>HYPERLINK("https://drive.google.com/file/d/1AppC6gmCT5jBFryd_0hR3o6MbKMkDCUK/view?usp=drivesdk","Star Trek - TNG+DS9 JumpChain.pdf")</f>
        <v>Star Trek - TNG+DS9 JumpChain.pdf</v>
      </c>
      <c r="B280" s="12" t="str">
        <f t="shared" ref="B280:B283" si="62">HYPERLINK("https://drive.google.com/drive/folders/1gC0JgiMGshADzGMGdjUxkVF9QSi5m5I6","DriveAnon's 4chan Drive/2. EVERYONE ELSE'S JUMPS/3. Series/Star Trek")</f>
        <v>DriveAnon's 4chan Drive/2. EVERYONE ELSE'S JUMPS/3. Series/Star Trek</v>
      </c>
    </row>
    <row r="281">
      <c r="A281" s="12" t="str">
        <f>HYPERLINK("https://drive.google.com/file/d/1GMG_t5UvXO0Y_97Qb0BVuGEGzHO95587/view?usp=drivesdk","NuTrek Jumpchan.pdf")</f>
        <v>NuTrek Jumpchan.pdf</v>
      </c>
      <c r="B281" s="12" t="str">
        <f t="shared" si="62"/>
        <v>DriveAnon's 4chan Drive/2. EVERYONE ELSE'S JUMPS/3. Series/Star Trek</v>
      </c>
    </row>
    <row r="282">
      <c r="A282" s="12" t="str">
        <f>HYPERLINK("https://drive.google.com/file/d/1XcCu9PymhayDoSIz3DIalCyUVH3z-GZ4/view?usp=drivesdk","Star Trek - TNG+DS9 JumpChain [Text Version].pdf")</f>
        <v>Star Trek - TNG+DS9 JumpChain [Text Version].pdf</v>
      </c>
      <c r="B282" s="12" t="str">
        <f t="shared" si="62"/>
        <v>DriveAnon's 4chan Drive/2. EVERYONE ELSE'S JUMPS/3. Series/Star Trek</v>
      </c>
    </row>
    <row r="283">
      <c r="A283" s="12" t="str">
        <f>HYPERLINK("https://drive.google.com/file/d/1e49cUjvK5hykC7nxaP_opGD-aJTf4BCd/view?usp=drivesdk","Star Trek JumpChain.pdf")</f>
        <v>Star Trek JumpChain.pdf</v>
      </c>
      <c r="B283" s="12" t="str">
        <f t="shared" si="62"/>
        <v>DriveAnon's 4chan Drive/2. EVERYONE ELSE'S JUMPS/3. Series/Star Trek</v>
      </c>
    </row>
    <row r="284">
      <c r="A284" s="12" t="str">
        <f>HYPERLINK("https://drive.google.com/file/d/1IomM38aD-7jBL7nl4CgBJEKMnMncSjQ1/view?usp=drivesdk","Spiral Knights JumpChain.pdf")</f>
        <v>Spiral Knights JumpChain.pdf</v>
      </c>
      <c r="B284" s="12" t="str">
        <f t="shared" ref="B284:B285" si="63">HYPERLINK("https://drive.google.com/drive/folders/1oJzSF_Oy9b9Te4cvpn9JgWcdC5XTPvq2","DriveAnon's 4chan Drive/2. EVERYONE ELSE'S JUMPS/3. Series/Spiral Knights")</f>
        <v>DriveAnon's 4chan Drive/2. EVERYONE ELSE'S JUMPS/3. Series/Spiral Knights</v>
      </c>
    </row>
    <row r="285">
      <c r="A285" s="12" t="str">
        <f>HYPERLINK("https://drive.google.com/file/d/1TZx0TvX4cmoOe7Wv995NfyQeqSHuaRjW/view?usp=drivesdk","Spiral Knights Racial Supplement.pdf")</f>
        <v>Spiral Knights Racial Supplement.pdf</v>
      </c>
      <c r="B285" s="12" t="str">
        <f t="shared" si="63"/>
        <v>DriveAnon's 4chan Drive/2. EVERYONE ELSE'S JUMPS/3. Series/Spiral Knights</v>
      </c>
    </row>
    <row r="286">
      <c r="A286" s="12" t="str">
        <f>HYPERLINK("https://drive.google.com/file/d/1s2SPRXtdn8m_UDrtREYo2igfxlyzxA1_/view?usp=drivesdk","Super Smash Bros. Ultimate World of Light.pdf")</f>
        <v>Super Smash Bros. Ultimate World of Light.pdf</v>
      </c>
      <c r="B286" s="12" t="str">
        <f t="shared" ref="B286:B287" si="64">HYPERLINK("https://drive.google.com/drive/folders/1zuWHgpa7-8LLT9-GZD_JArGXNgenmJJo","DriveAnon's 4chan Drive/2. EVERYONE ELSE'S JUMPS/3. Series/Super Smash Bros")</f>
        <v>DriveAnon's 4chan Drive/2. EVERYONE ELSE'S JUMPS/3. Series/Super Smash Bros</v>
      </c>
    </row>
    <row r="287">
      <c r="A287" s="12" t="str">
        <f>HYPERLINK("https://drive.google.com/file/d/189hyEv5eMqnmVY_0M5cFY4_3dWC-i1W_/view?usp=drivesdk","SUPER SMASH BROTHERS JumpChain.pdf")</f>
        <v>SUPER SMASH BROTHERS JumpChain.pdf</v>
      </c>
      <c r="B287" s="12" t="str">
        <f t="shared" si="64"/>
        <v>DriveAnon's 4chan Drive/2. EVERYONE ELSE'S JUMPS/3. Series/Super Smash Bros</v>
      </c>
    </row>
    <row r="288">
      <c r="A288" s="12" t="str">
        <f>HYPERLINK("https://drive.google.com/file/d/1qkcILoBYtKahQNOIRjwG47uklxxUmY-E/view?usp=drivesdk","Skylanders - Spyro's Adventure.pdf")</f>
        <v>Skylanders - Spyro's Adventure.pdf</v>
      </c>
      <c r="B288" s="12" t="str">
        <f t="shared" ref="B288:B295" si="65">HYPERLINK("https://drive.google.com/drive/folders/1CoWchCU-62LSWfOnQduroczBuH95qbs4","DriveAnon's 4chan Drive/2. EVERYONE ELSE'S JUMPS/3. Series/Skylanders")</f>
        <v>DriveAnon's 4chan Drive/2. EVERYONE ELSE'S JUMPS/3. Series/Skylanders</v>
      </c>
    </row>
    <row r="289">
      <c r="A289" s="12" t="str">
        <f>HYPERLINK("https://drive.google.com/file/d/1tAd4xJZRy7LL1CBWuRwfAhnwH7q9dmMz/view?usp=drivesdk","Skylanders Imaginators.pdf")</f>
        <v>Skylanders Imaginators.pdf</v>
      </c>
      <c r="B289" s="12" t="str">
        <f t="shared" si="65"/>
        <v>DriveAnon's 4chan Drive/2. EVERYONE ELSE'S JUMPS/3. Series/Skylanders</v>
      </c>
    </row>
    <row r="290">
      <c r="A290" s="12" t="str">
        <f>HYPERLINK("https://drive.google.com/file/d/1_V1V08rC1kI_WtTxcjPsPQDJSenyoZqD/view?usp=drivesdk","Skylanders SWAP Force.pdf")</f>
        <v>Skylanders SWAP Force.pdf</v>
      </c>
      <c r="B290" s="12" t="str">
        <f t="shared" si="65"/>
        <v>DriveAnon's 4chan Drive/2. EVERYONE ELSE'S JUMPS/3. Series/Skylanders</v>
      </c>
    </row>
    <row r="291">
      <c r="A291" s="12" t="str">
        <f>HYPERLINK("https://drive.google.com/file/d/1lLXxMR7POx8RQC_-ZSOGuxZMx4uBAqx9/view?usp=drivesdk","Skylanders Trap Team.pdf")</f>
        <v>Skylanders Trap Team.pdf</v>
      </c>
      <c r="B291" s="12" t="str">
        <f t="shared" si="65"/>
        <v>DriveAnon's 4chan Drive/2. EVERYONE ELSE'S JUMPS/3. Series/Skylanders</v>
      </c>
    </row>
    <row r="292">
      <c r="A292" s="12" t="str">
        <f>HYPERLINK("https://drive.google.com/file/d/1MoYi25Efj8cy7Ab0xWR511_QCUymKOxo/view?usp=drivesdk","Skylanders Giants.pdf")</f>
        <v>Skylanders Giants.pdf</v>
      </c>
      <c r="B292" s="12" t="str">
        <f t="shared" si="65"/>
        <v>DriveAnon's 4chan Drive/2. EVERYONE ELSE'S JUMPS/3. Series/Skylanders</v>
      </c>
    </row>
    <row r="293">
      <c r="A293" s="12" t="str">
        <f>HYPERLINK("https://drive.google.com/file/d/1UgHBN-V2CvRAdWB-rOlMB48288-DUwAA/view?usp=drivesdk","Skylanders SuperChargers.pdf")</f>
        <v>Skylanders SuperChargers.pdf</v>
      </c>
      <c r="B293" s="12" t="str">
        <f t="shared" si="65"/>
        <v>DriveAnon's 4chan Drive/2. EVERYONE ELSE'S JUMPS/3. Series/Skylanders</v>
      </c>
    </row>
    <row r="294">
      <c r="A294" s="12" t="str">
        <f>HYPERLINK("https://drive.google.com/file/d/1PfXq5QI3D4-7ZqMmIM9MjcGjoVegx8AW/view?usp=drivesdk","Skylanders - Ring of Heroes.pdf")</f>
        <v>Skylanders - Ring of Heroes.pdf</v>
      </c>
      <c r="B294" s="12" t="str">
        <f t="shared" si="65"/>
        <v>DriveAnon's 4chan Drive/2. EVERYONE ELSE'S JUMPS/3. Series/Skylanders</v>
      </c>
    </row>
    <row r="295">
      <c r="A295" s="12" t="str">
        <f>HYPERLINK("https://drive.google.com/file/d/1JKLObpIuT1uKImQ66MpeIIerAu2p67a9/view?usp=drivesdk","Skylanders Academy.pdf")</f>
        <v>Skylanders Academy.pdf</v>
      </c>
      <c r="B295" s="12" t="str">
        <f t="shared" si="65"/>
        <v>DriveAnon's 4chan Drive/2. EVERYONE ELSE'S JUMPS/3. Series/Skylanders</v>
      </c>
    </row>
    <row r="296">
      <c r="A296" s="12" t="str">
        <f>HYPERLINK("https://drive.google.com/file/d/1c0QfPz6SGG2Dn3SVb1x5VgS_a7gNVfPj/view?usp=drivesdk","Shin Megami Tensei II JumpChain.pdf")</f>
        <v>Shin Megami Tensei II JumpChain.pdf</v>
      </c>
      <c r="B296" s="12" t="str">
        <f t="shared" ref="B296:B302" si="66">HYPERLINK("https://drive.google.com/drive/folders/1KxHlHdCs2-VPaqLJsdvTyxT4ywrc-_As","DriveAnon's 4chan Drive/2. EVERYONE ELSE'S JUMPS/3. Series/Shin Megami Tensei")</f>
        <v>DriveAnon's 4chan Drive/2. EVERYONE ELSE'S JUMPS/3. Series/Shin Megami Tensei</v>
      </c>
    </row>
    <row r="297">
      <c r="A297" s="12" t="str">
        <f>HYPERLINK("https://drive.google.com/file/d/110PJVL8b6FqI8BPjiaUw1ucUcsnDKlNC/view?usp=drivesdk","Devil Summoner -  Soul Hackers JumpChain.pdf")</f>
        <v>Devil Summoner -  Soul Hackers JumpChain.pdf</v>
      </c>
      <c r="B297" s="12" t="str">
        <f t="shared" si="66"/>
        <v>DriveAnon's 4chan Drive/2. EVERYONE ELSE'S JUMPS/3. Series/Shin Megami Tensei</v>
      </c>
    </row>
    <row r="298">
      <c r="A298" s="12" t="str">
        <f>HYPERLINK("https://drive.google.com/file/d/11PRo1uAv8la4Xiu1CRBJi9AWApERfJIT/view?usp=drivesdk","SHIN MEGAMI TENSEI1 jumpchain.pdf")</f>
        <v>SHIN MEGAMI TENSEI1 jumpchain.pdf</v>
      </c>
      <c r="B298" s="12" t="str">
        <f t="shared" si="66"/>
        <v>DriveAnon's 4chan Drive/2. EVERYONE ELSE'S JUMPS/3. Series/Shin Megami Tensei</v>
      </c>
    </row>
    <row r="299">
      <c r="A299" s="12" t="str">
        <f>HYPERLINK("https://drive.google.com/file/d/15kn9VrcvGff2FuD3FwpYv18pRxz-gv2t/view?usp=drivesdk","Devil Survivor 2 JumpChain.pdf")</f>
        <v>Devil Survivor 2 JumpChain.pdf</v>
      </c>
      <c r="B299" s="12" t="str">
        <f t="shared" si="66"/>
        <v>DriveAnon's 4chan Drive/2. EVERYONE ELSE'S JUMPS/3. Series/Shin Megami Tensei</v>
      </c>
    </row>
    <row r="300">
      <c r="A300" s="12" t="str">
        <f>HYPERLINK("https://drive.google.com/file/d/18xrkife2clA-kf5L7wlnig35DDNQ0wpc/view?usp=drivesdk","Devil Survivor 1 JumpChain.pdf")</f>
        <v>Devil Survivor 1 JumpChain.pdf</v>
      </c>
      <c r="B300" s="12" t="str">
        <f t="shared" si="66"/>
        <v>DriveAnon's 4chan Drive/2. EVERYONE ELSE'S JUMPS/3. Series/Shin Megami Tensei</v>
      </c>
    </row>
    <row r="301">
      <c r="A301" s="12" t="str">
        <f>HYPERLINK("https://drive.google.com/file/d/1A84rrqiyIlTuACm4sv2x2ZNar5tFgMPc/view?usp=drivesdk","Digital Devil Saga JumpChain Part 1.pdf")</f>
        <v>Digital Devil Saga JumpChain Part 1.pdf</v>
      </c>
      <c r="B301" s="12" t="str">
        <f t="shared" si="66"/>
        <v>DriveAnon's 4chan Drive/2. EVERYONE ELSE'S JUMPS/3. Series/Shin Megami Tensei</v>
      </c>
    </row>
    <row r="302">
      <c r="A302" s="12" t="str">
        <f>HYPERLINK("https://drive.google.com/file/d/1bCNzURMy52hyhZ8OUUMjUQrO2OvRT9UQ/view?usp=drivesdk","Digital Devil Saga Part 2 JumpChain.pdf")</f>
        <v>Digital Devil Saga Part 2 JumpChain.pdf</v>
      </c>
      <c r="B302" s="12" t="str">
        <f t="shared" si="66"/>
        <v>DriveAnon's 4chan Drive/2. EVERYONE ELSE'S JUMPS/3. Series/Shin Megami Tensei</v>
      </c>
    </row>
    <row r="303">
      <c r="A303" s="12" t="str">
        <f>HYPERLINK("https://drive.google.com/file/d/1wnDovMp56bSoAOdXa5tK1I8RU5rqFv50/view?usp=drivesdk","Samurai Jack JumpChain.pdf")</f>
        <v>Samurai Jack JumpChain.pdf</v>
      </c>
      <c r="B303" s="12" t="str">
        <f>HYPERLINK("https://drive.google.com/drive/folders/1wRsvC3MtukHPrGcUKzINBaZEcBWK3s-3","DriveAnon's 4chan Drive/2. EVERYONE ELSE'S JUMPS/3. Series/Samurai Jack")</f>
        <v>DriveAnon's 4chan Drive/2. EVERYONE ELSE'S JUMPS/3. Series/Samurai Jack</v>
      </c>
    </row>
    <row r="304">
      <c r="A304" s="12" t="str">
        <f>HYPERLINK("https://drive.google.com/file/d/1YcZoAoXb4QUL0duUriepidpViMmQAadc/view?usp=drivesdk","Saint Seiya (Original Series) JumpChain.pdf")</f>
        <v>Saint Seiya (Original Series) JumpChain.pdf</v>
      </c>
      <c r="B304" s="12" t="str">
        <f t="shared" ref="B304:B305" si="67">HYPERLINK("https://drive.google.com/drive/folders/1evrESYhYv2h2YhZwsRAaH0klZAafC1bO","DriveAnon's 4chan Drive/2. EVERYONE ELSE'S JUMPS/3. Series/Saint Seiya")</f>
        <v>DriveAnon's 4chan Drive/2. EVERYONE ELSE'S JUMPS/3. Series/Saint Seiya</v>
      </c>
    </row>
    <row r="305">
      <c r="A305" s="12" t="str">
        <f>HYPERLINK("https://drive.google.com/file/d/1sLJzhgTXzoHb2MBDS9US1Z_1k1d-0GLl/view?usp=drivesdk","Saint Seiya- Episode G JumpChain.pdf")</f>
        <v>Saint Seiya- Episode G JumpChain.pdf</v>
      </c>
      <c r="B305" s="12" t="str">
        <f t="shared" si="67"/>
        <v>DriveAnon's 4chan Drive/2. EVERYONE ELSE'S JUMPS/3. Series/Saint Seiya</v>
      </c>
    </row>
    <row r="306">
      <c r="A306" s="12" t="str">
        <f>HYPERLINK("https://drive.google.com/file/d/1I61237ItfV-XGpij7OFePNPzxAVk6qCn/view?usp=drivesdk","RWBY JumpChain.pdf")</f>
        <v>RWBY JumpChain.pdf</v>
      </c>
      <c r="B306" s="12" t="str">
        <f>HYPERLINK("https://drive.google.com/drive/folders/1O8JdFGnNjPsUrbtpzdMEm21DJkBnjOx1","DriveAnon's 4chan Drive/2. EVERYONE ELSE'S JUMPS/3. Series/RWBY JumpChain")</f>
        <v>DriveAnon's 4chan Drive/2. EVERYONE ELSE'S JUMPS/3. Series/RWBY JumpChain</v>
      </c>
    </row>
    <row r="307">
      <c r="A307" s="12" t="str">
        <f>HYPERLINK("https://drive.google.com/file/d/1VXSA7iCyx354ro7hI2V6czB3kgrpVwqi/view?usp=drivesdk","RWBY Jumpchain v1.4B Hard Work and Guts Edition.pdf")</f>
        <v>RWBY Jumpchain v1.4B Hard Work and Guts Edition.pdf</v>
      </c>
      <c r="B307" s="12" t="str">
        <f t="shared" ref="B307:B308" si="68">HYPERLINK("https://drive.google.com/drive/folders/1kmvBgrzPl3jAGhaQNWrJW9-ZZOgU-q-5","DriveAnon's 4chan Drive/2. EVERYONE ELSE'S JUMPS/3. Series/RWBY JumpChain/Old Jump")</f>
        <v>DriveAnon's 4chan Drive/2. EVERYONE ELSE'S JUMPS/3. Series/RWBY JumpChain/Old Jump</v>
      </c>
    </row>
    <row r="308">
      <c r="A308" s="12" t="str">
        <f>HYPERLINK("https://drive.google.com/file/d/1a1nbTb5rYjljzhxGUQ6ULfy9HlZS-VBa/view?usp=drivesdk","RWBY Jumpchain v1.4A The People Have Spoken Edition.pdf")</f>
        <v>RWBY Jumpchain v1.4A The People Have Spoken Edition.pdf</v>
      </c>
      <c r="B308" s="12" t="str">
        <f t="shared" si="68"/>
        <v>DriveAnon's 4chan Drive/2. EVERYONE ELSE'S JUMPS/3. Series/RWBY JumpChain/Old Jump</v>
      </c>
    </row>
    <row r="309">
      <c r="A309" s="12" t="str">
        <f>HYPERLINK("https://drive.google.com/file/d/1IdlGaHeL2uHkWfQQJD2ap6l6r2tUHrGZ/view?usp=drivesdk","RA3 Page 3.png")</f>
        <v>RA3 Page 3.png</v>
      </c>
      <c r="B309" s="12" t="str">
        <f t="shared" ref="B309:B317" si="69">HYPERLINK("https://drive.google.com/drive/folders/1MuJicgFpjf3fhZL95tosbh1D4iPif5hi","DriveAnon's 4chan Drive/2. EVERYONE ELSE'S JUMPS/3. Series/Red Alert 3 Jumpchain")</f>
        <v>DriveAnon's 4chan Drive/2. EVERYONE ELSE'S JUMPS/3. Series/Red Alert 3 Jumpchain</v>
      </c>
    </row>
    <row r="310">
      <c r="A310" s="12" t="str">
        <f>HYPERLINK("https://drive.google.com/file/d/1IqYEgvTPcyVfTN5FW9fK0hj3JGHVBQve/view?usp=drivesdk","Red Alert Jump.pdf")</f>
        <v>Red Alert Jump.pdf</v>
      </c>
      <c r="B310" s="12" t="str">
        <f t="shared" si="69"/>
        <v>DriveAnon's 4chan Drive/2. EVERYONE ELSE'S JUMPS/3. Series/Red Alert 3 Jumpchain</v>
      </c>
    </row>
    <row r="311">
      <c r="A311" s="12" t="str">
        <f>HYPERLINK("https://drive.google.com/file/d/1LVGOg2pGEoakGs6d1jnm1Panr4sEYhSn/view?usp=drivesdk","RA3 Page 2.png")</f>
        <v>RA3 Page 2.png</v>
      </c>
      <c r="B311" s="12" t="str">
        <f t="shared" si="69"/>
        <v>DriveAnon's 4chan Drive/2. EVERYONE ELSE'S JUMPS/3. Series/Red Alert 3 Jumpchain</v>
      </c>
    </row>
    <row r="312">
      <c r="A312" s="12" t="str">
        <f>HYPERLINK("https://drive.google.com/file/d/1H4519StxeUVKQanyav4NKH4W8xXXSLSc/view?usp=drivesdk","RA3 Page 1.png")</f>
        <v>RA3 Page 1.png</v>
      </c>
      <c r="B312" s="12" t="str">
        <f t="shared" si="69"/>
        <v>DriveAnon's 4chan Drive/2. EVERYONE ELSE'S JUMPS/3. Series/Red Alert 3 Jumpchain</v>
      </c>
    </row>
    <row r="313">
      <c r="A313" s="12" t="str">
        <f>HYPERLINK("https://drive.google.com/file/d/1Hw_4jaY61p-2SzmM15b1Px64aNJcqbIl/view?usp=drivesdk","RA3 Page 7.png")</f>
        <v>RA3 Page 7.png</v>
      </c>
      <c r="B313" s="12" t="str">
        <f t="shared" si="69"/>
        <v>DriveAnon's 4chan Drive/2. EVERYONE ELSE'S JUMPS/3. Series/Red Alert 3 Jumpchain</v>
      </c>
    </row>
    <row r="314">
      <c r="A314" s="12" t="str">
        <f>HYPERLINK("https://drive.google.com/file/d/1JFRmohwFng7UtGR_7jriRhZiGbCqq4us/view?usp=drivesdk","RA3 Page 8.png")</f>
        <v>RA3 Page 8.png</v>
      </c>
      <c r="B314" s="12" t="str">
        <f t="shared" si="69"/>
        <v>DriveAnon's 4chan Drive/2. EVERYONE ELSE'S JUMPS/3. Series/Red Alert 3 Jumpchain</v>
      </c>
    </row>
    <row r="315">
      <c r="A315" s="12" t="str">
        <f>HYPERLINK("https://drive.google.com/file/d/1c_e9CFlULSSsPcvrJ6eZRCGEUgmCv-04/view?usp=drivesdk","RA3 Page 5.png")</f>
        <v>RA3 Page 5.png</v>
      </c>
      <c r="B315" s="12" t="str">
        <f t="shared" si="69"/>
        <v>DriveAnon's 4chan Drive/2. EVERYONE ELSE'S JUMPS/3. Series/Red Alert 3 Jumpchain</v>
      </c>
    </row>
    <row r="316">
      <c r="A316" s="12" t="str">
        <f>HYPERLINK("https://drive.google.com/file/d/1eBJwVl1KlSAH3SuYhcailnx2OuyvKsGc/view?usp=drivesdk","RA3 Page 4.png")</f>
        <v>RA3 Page 4.png</v>
      </c>
      <c r="B316" s="12" t="str">
        <f t="shared" si="69"/>
        <v>DriveAnon's 4chan Drive/2. EVERYONE ELSE'S JUMPS/3. Series/Red Alert 3 Jumpchain</v>
      </c>
    </row>
    <row r="317">
      <c r="A317" s="12" t="str">
        <f>HYPERLINK("https://drive.google.com/file/d/1n_6quiUfYO-UPlzBjwHE6mF9ULq3dIN2/view?usp=drivesdk","RA3 Page 6.png")</f>
        <v>RA3 Page 6.png</v>
      </c>
      <c r="B317" s="12" t="str">
        <f t="shared" si="69"/>
        <v>DriveAnon's 4chan Drive/2. EVERYONE ELSE'S JUMPS/3. Series/Red Alert 3 Jumpchain</v>
      </c>
    </row>
    <row r="318">
      <c r="A318" s="12" t="str">
        <f>HYPERLINK("https://drive.google.com/file/d/1KnOngb0UjW3bKYBstsX_BwGuZqkBU58z/view?usp=drivesdk","Percy Jackson and the Olympians JumpChain.pdf")</f>
        <v>Percy Jackson and the Olympians JumpChain.pdf</v>
      </c>
      <c r="B318" s="12" t="str">
        <f t="shared" ref="B318:B319" si="70">HYPERLINK("https://drive.google.com/drive/folders/1FTIUcYLz6-sUUsOhMbDB0CttppDdFtwq","DriveAnon's 4chan Drive/2. EVERYONE ELSE'S JUMPS/3. Series/Percy Jackson")</f>
        <v>DriveAnon's 4chan Drive/2. EVERYONE ELSE'S JUMPS/3. Series/Percy Jackson</v>
      </c>
    </row>
    <row r="319">
      <c r="A319" s="12" t="str">
        <f>HYPERLINK("https://drive.google.com/file/d/1b1uafY1TCzy1-4BhXF-OEARLsZWmTfnf/view?usp=drivesdk","Percy Jackson JumpChain.pdf")</f>
        <v>Percy Jackson JumpChain.pdf</v>
      </c>
      <c r="B319" s="12" t="str">
        <f t="shared" si="70"/>
        <v>DriveAnon's 4chan Drive/2. EVERYONE ELSE'S JUMPS/3. Series/Percy Jackson</v>
      </c>
    </row>
    <row r="320">
      <c r="A320" s="12" t="str">
        <f>HYPERLINK("https://drive.google.com/file/d/11lYzpNgcygunXQCkFQmYmVTAlScrDY54/view?usp=drivesdk","Pygmalion JumpChain (Unimaged).pdf")</f>
        <v>Pygmalion JumpChain (Unimaged).pdf</v>
      </c>
      <c r="B320" s="12" t="str">
        <f t="shared" ref="B320:B321" si="71">HYPERLINK("https://drive.google.com/drive/folders/1IJOV_sz7jM0vqorUiZRKQWoy4W8YR2C8","DriveAnon's 4chan Drive/2. EVERYONE ELSE'S JUMPS/3. Series/Pygmalion")</f>
        <v>DriveAnon's 4chan Drive/2. EVERYONE ELSE'S JUMPS/3. Series/Pygmalion</v>
      </c>
    </row>
    <row r="321">
      <c r="A321" s="12" t="str">
        <f>HYPERLINK("https://drive.google.com/file/d/1DcJ1yEAb6djCmNCGuSTZ5ori_F5HZ3ND/view?usp=drivesdk","Pygmalion JumpChain (Imaged).pdf")</f>
        <v>Pygmalion JumpChain (Imaged).pdf</v>
      </c>
      <c r="B321" s="12" t="str">
        <f t="shared" si="71"/>
        <v>DriveAnon's 4chan Drive/2. EVERYONE ELSE'S JUMPS/3. Series/Pygmalion</v>
      </c>
    </row>
    <row r="322">
      <c r="A322" s="12" t="str">
        <f>HYPERLINK("https://drive.google.com/file/d/1sHTOtD1ppmt8dkDmANDBS8Bamb7N7jyL/view?usp=drivesdk","Pokemon Tabletop United.pdf")</f>
        <v>Pokemon Tabletop United.pdf</v>
      </c>
      <c r="B322" s="12" t="str">
        <f t="shared" ref="B322:B332" si="72">HYPERLINK("https://drive.google.com/drive/folders/1O3EF_uVhwKkPDOwbcH5DHvaBDjHtEGEq","DriveAnon's 4chan Drive/2. EVERYONE ELSE'S JUMPS/3. Series/Pokémon")</f>
        <v>DriveAnon's 4chan Drive/2. EVERYONE ELSE'S JUMPS/3. Series/Pokémon</v>
      </c>
    </row>
    <row r="323">
      <c r="A323" s="12" t="str">
        <f>HYPERLINK("https://drive.google.com/file/d/1VT8Ddd3vuhBHptdAC_GLSnb5YlP2h1uk/view?usp=drivesdk","Pokémon Colosseum XD - Gale of Darkness.pdf")</f>
        <v>Pokémon Colosseum XD - Gale of Darkness.pdf</v>
      </c>
      <c r="B323" s="12" t="str">
        <f t="shared" si="72"/>
        <v>DriveAnon's 4chan Drive/2. EVERYONE ELSE'S JUMPS/3. Series/Pokémon</v>
      </c>
    </row>
    <row r="324">
      <c r="A324" s="12" t="str">
        <f>HYPERLINK("https://drive.google.com/file/d/1jWqEPREzX38M9s7yZP0rRB3-opjDOh_F/view?usp=drivesdk","New Pokemon Snap.pdf")</f>
        <v>New Pokemon Snap.pdf</v>
      </c>
      <c r="B324" s="12" t="str">
        <f t="shared" si="72"/>
        <v>DriveAnon's 4chan Drive/2. EVERYONE ELSE'S JUMPS/3. Series/Pokémon</v>
      </c>
    </row>
    <row r="325">
      <c r="A325" s="12" t="str">
        <f>HYPERLINK("https://drive.google.com/file/d/1pVOqotKPjnJPN3Y7DYc1IympRqDtTvyG/view?usp=drivesdk","Pokemon Master.pdf")</f>
        <v>Pokemon Master.pdf</v>
      </c>
      <c r="B325" s="12" t="str">
        <f t="shared" si="72"/>
        <v>DriveAnon's 4chan Drive/2. EVERYONE ELSE'S JUMPS/3. Series/Pokémon</v>
      </c>
    </row>
    <row r="326">
      <c r="A326" s="12" t="str">
        <f>HYPERLINK("https://drive.google.com/file/d/12QcY3_8cbDUHU2lmjYB1Jth7hHwkrXK9/view?usp=drivesdk","Magical Pokémon Journey JumpChain.pdf")</f>
        <v>Magical Pokémon Journey JumpChain.pdf</v>
      </c>
      <c r="B326" s="12" t="str">
        <f t="shared" si="72"/>
        <v>DriveAnon's 4chan Drive/2. EVERYONE ELSE'S JUMPS/3. Series/Pokémon</v>
      </c>
    </row>
    <row r="327">
      <c r="A327" s="12" t="str">
        <f>HYPERLINK("https://drive.google.com/file/d/1O1yLRdk_BMZEH6Z7fkDxx8tvbJI2YE2e/view?usp=drivesdk","Pokkén Tournament JumpChain.pdf")</f>
        <v>Pokkén Tournament JumpChain.pdf</v>
      </c>
      <c r="B327" s="12" t="str">
        <f t="shared" si="72"/>
        <v>DriveAnon's 4chan Drive/2. EVERYONE ELSE'S JUMPS/3. Series/Pokémon</v>
      </c>
    </row>
    <row r="328">
      <c r="A328" s="12" t="str">
        <f>HYPERLINK("https://drive.google.com/file/d/1O3qyL5kmlhnMpAyGhfv6pOxWyNF7ZsAY/view?usp=drivesdk","Pokemon Anime JumpChain.pdf")</f>
        <v>Pokemon Anime JumpChain.pdf</v>
      </c>
      <c r="B328" s="12" t="str">
        <f t="shared" si="72"/>
        <v>DriveAnon's 4chan Drive/2. EVERYONE ELSE'S JUMPS/3. Series/Pokémon</v>
      </c>
    </row>
    <row r="329">
      <c r="A329" s="12" t="str">
        <f>HYPERLINK("https://drive.google.com/file/d/1aDXswKhl9D6HM03h2Wy2GMyGBQc2gBdB/view?usp=drivesdk","Pokemon Anime_ OVA Supplement.pdf")</f>
        <v>Pokemon Anime_ OVA Supplement.pdf</v>
      </c>
      <c r="B329" s="12" t="str">
        <f t="shared" si="72"/>
        <v>DriveAnon's 4chan Drive/2. EVERYONE ELSE'S JUMPS/3. Series/Pokémon</v>
      </c>
    </row>
    <row r="330">
      <c r="A330" s="12" t="str">
        <f>HYPERLINK("https://drive.google.com/file/d/1boYbgd3NQz1hP4u1IjjShT1zf5_cvjYs/view?usp=drivesdk","Pokemon Conquest Jumpchain.pdf")</f>
        <v>Pokemon Conquest Jumpchain.pdf</v>
      </c>
      <c r="B330" s="12" t="str">
        <f t="shared" si="72"/>
        <v>DriveAnon's 4chan Drive/2. EVERYONE ELSE'S JUMPS/3. Series/Pokémon</v>
      </c>
    </row>
    <row r="331">
      <c r="A331" s="12" t="str">
        <f>HYPERLINK("https://drive.google.com/file/d/1nKAP9MovlU7ypLmc3GzQiRWnYd7F4y0P/view?usp=drivesdk","Pokemon Ranger JumpChain.pdf")</f>
        <v>Pokemon Ranger JumpChain.pdf</v>
      </c>
      <c r="B331" s="12" t="str">
        <f t="shared" si="72"/>
        <v>DriveAnon's 4chan Drive/2. EVERYONE ELSE'S JUMPS/3. Series/Pokémon</v>
      </c>
    </row>
    <row r="332">
      <c r="A332" s="12" t="str">
        <f>HYPERLINK("https://drive.google.com/file/d/1tPSNdjMJ7YhyS5gjVhEI1l9K6TFBlAkl/view?usp=drivesdk","Pokemon Sword and Shield.pdf")</f>
        <v>Pokemon Sword and Shield.pdf</v>
      </c>
      <c r="B332" s="12" t="str">
        <f t="shared" si="72"/>
        <v>DriveAnon's 4chan Drive/2. EVERYONE ELSE'S JUMPS/3. Series/Pokémon</v>
      </c>
    </row>
    <row r="333">
      <c r="A333" s="12" t="str">
        <f>HYPERLINK("https://drive.google.com/file/d/1AjVVchIYlaBQyqgDuDRjNrWou3eaQAAn/view?usp=drivesdk","Power Rangers Zeo.pdf")</f>
        <v>Power Rangers Zeo.pdf</v>
      </c>
      <c r="B333" s="12" t="str">
        <f t="shared" ref="B333:B335" si="73">HYPERLINK("https://drive.google.com/drive/folders/1R-u3DIMMqJ5KDrMpbFWCXsOwhRN-peI_","DriveAnon's 4chan Drive/2. EVERYONE ELSE'S JUMPS/3. Series/Power Rangers")</f>
        <v>DriveAnon's 4chan Drive/2. EVERYONE ELSE'S JUMPS/3. Series/Power Rangers</v>
      </c>
    </row>
    <row r="334">
      <c r="A334" s="12" t="str">
        <f>HYPERLINK("https://drive.google.com/file/d/1Ki0CZsg9NrRM9Fcuez1_94GcE2lHY792/view?usp=drivesdk","Power Rangers Turbo.pdf")</f>
        <v>Power Rangers Turbo.pdf</v>
      </c>
      <c r="B334" s="12" t="str">
        <f t="shared" si="73"/>
        <v>DriveAnon's 4chan Drive/2. EVERYONE ELSE'S JUMPS/3. Series/Power Rangers</v>
      </c>
    </row>
    <row r="335">
      <c r="A335" s="12" t="str">
        <f>HYPERLINK("https://drive.google.com/file/d/1j00Pz688XXJ4Aa4B6gWHQI_Ie7wN4nTq/view?usp=drivesdk","Mighty Morphin_ Power Rangers JumpChain.pdf")</f>
        <v>Mighty Morphin_ Power Rangers JumpChain.pdf</v>
      </c>
      <c r="B335" s="12" t="str">
        <f t="shared" si="73"/>
        <v>DriveAnon's 4chan Drive/2. EVERYONE ELSE'S JUMPS/3. Series/Power Rangers</v>
      </c>
    </row>
    <row r="336">
      <c r="A336" s="12" t="str">
        <f>HYPERLINK("https://drive.google.com/file/d/1I05YQSK26EuuM_Iq7AG-w_fS8-vgClRR/view?usp=drivesdk","Path of Exile- Delve League JumpChain.pdf")</f>
        <v>Path of Exile- Delve League JumpChain.pdf</v>
      </c>
      <c r="B336" s="12" t="str">
        <f t="shared" ref="B336:B338" si="74">HYPERLINK("https://drive.google.com/drive/folders/1Yz6Bqvlj31phAwYQi3yHhorFks5sBqgI","DriveAnon's 4chan Drive/2. EVERYONE ELSE'S JUMPS/3. Series/Path of Exile")</f>
        <v>DriveAnon's 4chan Drive/2. EVERYONE ELSE'S JUMPS/3. Series/Path of Exile</v>
      </c>
    </row>
    <row r="337">
      <c r="A337" s="12" t="str">
        <f>HYPERLINK("https://drive.google.com/file/d/1uLz4UZWkdB06sGp71wuSj3hs_dM1-C4K/view?usp=drivesdk","Path of Exile Jumpchain.pdf")</f>
        <v>Path of Exile Jumpchain.pdf</v>
      </c>
      <c r="B337" s="12" t="str">
        <f t="shared" si="74"/>
        <v>DriveAnon's 4chan Drive/2. EVERYONE ELSE'S JUMPS/3. Series/Path of Exile</v>
      </c>
    </row>
    <row r="338">
      <c r="A338" s="12" t="str">
        <f>HYPERLINK("https://drive.google.com/file/d/1iMeKv5pJd8bkPQxDKU6XOKCi8nC0QetS/view?usp=drivesdk","Path of Exile (Heist league).pdf")</f>
        <v>Path of Exile (Heist league).pdf</v>
      </c>
      <c r="B338" s="12" t="str">
        <f t="shared" si="74"/>
        <v>DriveAnon's 4chan Drive/2. EVERYONE ELSE'S JUMPS/3. Series/Path of Exile</v>
      </c>
    </row>
    <row r="339">
      <c r="A339" s="12" t="str">
        <f>HYPERLINK("https://drive.google.com/file/d/1hm_hcLEplP_-sKejovTCKXjJjYk44L1U/view?usp=drivesdk","Pirates of the Caribbean JumpChain.pdf")</f>
        <v>Pirates of the Caribbean JumpChain.pdf</v>
      </c>
      <c r="B339" s="12" t="str">
        <f t="shared" ref="B339:B340" si="75">HYPERLINK("https://drive.google.com/drive/folders/1kUVLOSBtA243ds_MzbcIwKTa3u8H0zef","DriveAnon's 4chan Drive/2. EVERYONE ELSE'S JUMPS/3. Series/Pirates of the Caribbean")</f>
        <v>DriveAnon's 4chan Drive/2. EVERYONE ELSE'S JUMPS/3. Series/Pirates of the Caribbean</v>
      </c>
    </row>
    <row r="340">
      <c r="A340" s="12" t="str">
        <f>HYPERLINK("https://drive.google.com/file/d/1mAQgUYwJKUyO3UnFg0l2th41E9-_Nuqr/view?usp=drivesdk","Pirates of the Caribbean - Dead Men Tell No Tales.pdf")</f>
        <v>Pirates of the Caribbean - Dead Men Tell No Tales.pdf</v>
      </c>
      <c r="B340" s="12" t="str">
        <f t="shared" si="75"/>
        <v>DriveAnon's 4chan Drive/2. EVERYONE ELSE'S JUMPS/3. Series/Pirates of the Caribbean</v>
      </c>
    </row>
    <row r="341">
      <c r="A341" s="12" t="str">
        <f>HYPERLINK("https://drive.google.com/file/d/16QK6clfqwB1AUy4mSwvMlIyWtedI7kg9/view?usp=drivesdk","Persona 5 JumpChain.pdf")</f>
        <v>Persona 5 JumpChain.pdf</v>
      </c>
      <c r="B341" s="12" t="str">
        <f t="shared" ref="B341:B342" si="76">HYPERLINK("https://drive.google.com/drive/folders/1sVvrmIbVcXi4pG5y0r_3TW9ijlZiMkUE","DriveAnon's 4chan Drive/2. EVERYONE ELSE'S JUMPS/3. Series/Persona")</f>
        <v>DriveAnon's 4chan Drive/2. EVERYONE ELSE'S JUMPS/3. Series/Persona</v>
      </c>
    </row>
    <row r="342">
      <c r="A342" s="12" t="str">
        <f>HYPERLINK("https://drive.google.com/file/d/1xIchQ9P0OkhqJ28fpXSKa75zP-P7vUzF/view?usp=drivesdk","Persona JumpChain.pdf")</f>
        <v>Persona JumpChain.pdf</v>
      </c>
      <c r="B342" s="12" t="str">
        <f t="shared" si="76"/>
        <v>DriveAnon's 4chan Drive/2. EVERYONE ELSE'S JUMPS/3. Series/Persona</v>
      </c>
    </row>
    <row r="343">
      <c r="A343" s="12" t="str">
        <f>HYPERLINK("https://drive.google.com/file/d/10tjZlwmEeTkilxbyDFm7yN57sUjMZqkB/view?usp=drivesdk","Quest for Glory 4 &amp; 5.pdf")</f>
        <v>Quest for Glory 4 &amp; 5.pdf</v>
      </c>
      <c r="B343" s="12" t="str">
        <f t="shared" ref="B343:B345" si="77">HYPERLINK("https://drive.google.com/drive/folders/1xKjTuVmO-kZ6NG5qD44NgcOzshyf5Pfg","DriveAnon's 4chan Drive/2. EVERYONE ELSE'S JUMPS/3. Series/Quest for Glory")</f>
        <v>DriveAnon's 4chan Drive/2. EVERYONE ELSE'S JUMPS/3. Series/Quest for Glory</v>
      </c>
    </row>
    <row r="344">
      <c r="A344" s="12" t="str">
        <f>HYPERLINK("https://drive.google.com/file/d/1YCvSgYnZvhpUMnE7TTy6Cr2YKe_4DVrJ/view?usp=drivesdk","Quest for Glory 2 &amp; 3.pdf")</f>
        <v>Quest for Glory 2 &amp; 3.pdf</v>
      </c>
      <c r="B344" s="12" t="str">
        <f t="shared" si="77"/>
        <v>DriveAnon's 4chan Drive/2. EVERYONE ELSE'S JUMPS/3. Series/Quest for Glory</v>
      </c>
    </row>
    <row r="345">
      <c r="A345" s="12" t="str">
        <f>HYPERLINK("https://drive.google.com/file/d/1ZNMA9Jtn7I7p_oBPM0RNDFkOxTQU0mjb/view?usp=drivesdk","Quest for Glory 1.pdf")</f>
        <v>Quest for Glory 1.pdf</v>
      </c>
      <c r="B345" s="12" t="str">
        <f t="shared" si="77"/>
        <v>DriveAnon's 4chan Drive/2. EVERYONE ELSE'S JUMPS/3. Series/Quest for Glory</v>
      </c>
    </row>
    <row r="346">
      <c r="A346" s="12" t="str">
        <f>HYPERLINK("https://drive.google.com/file/d/16ZFsjt3LFCRVwua-pBFGvjIz88rH57ur/view?usp=drivesdk","Jump 4 - Hearts of Iron.pdf")</f>
        <v>Jump 4 - Hearts of Iron.pdf</v>
      </c>
      <c r="B346" s="12" t="str">
        <f t="shared" ref="B346:B350" si="78">HYPERLINK("https://drive.google.com/drive/folders/1588r-EwZl7YnuyLwZ_pbuFJ_-DmA59d9","DriveAnon's 4chan Drive/2. EVERYONE ELSE'S JUMPS/3. Series/Paradox Grand Strategy")</f>
        <v>DriveAnon's 4chan Drive/2. EVERYONE ELSE'S JUMPS/3. Series/Paradox Grand Strategy</v>
      </c>
    </row>
    <row r="347">
      <c r="A347" s="12" t="str">
        <f>HYPERLINK("https://drive.google.com/file/d/16-Wl-SuWgKvQehYsoCigMmzsF6e0iPNR/view?usp=drivesdk","Jump 2 - Europa Universalis.pdf")</f>
        <v>Jump 2 - Europa Universalis.pdf</v>
      </c>
      <c r="B347" s="12" t="str">
        <f t="shared" si="78"/>
        <v>DriveAnon's 4chan Drive/2. EVERYONE ELSE'S JUMPS/3. Series/Paradox Grand Strategy</v>
      </c>
    </row>
    <row r="348">
      <c r="A348" s="12" t="str">
        <f>HYPERLINK("https://drive.google.com/file/d/1PZzoi8hvt75qxQOANSWAmSU_y5pGgq4P/view?usp=drivesdk","Jump 1 - Crusader Kings.pdf")</f>
        <v>Jump 1 - Crusader Kings.pdf</v>
      </c>
      <c r="B348" s="12" t="str">
        <f t="shared" si="78"/>
        <v>DriveAnon's 4chan Drive/2. EVERYONE ELSE'S JUMPS/3. Series/Paradox Grand Strategy</v>
      </c>
    </row>
    <row r="349">
      <c r="A349" s="12" t="str">
        <f>HYPERLINK("https://drive.google.com/file/d/1W0xa6jjHEQF67CkSFZ20iowk1jtDzdzx/view?usp=drivesdk","Jump 5 - East vs West.pdf")</f>
        <v>Jump 5 - East vs West.pdf</v>
      </c>
      <c r="B349" s="12" t="str">
        <f t="shared" si="78"/>
        <v>DriveAnon's 4chan Drive/2. EVERYONE ELSE'S JUMPS/3. Series/Paradox Grand Strategy</v>
      </c>
    </row>
    <row r="350">
      <c r="A350" s="12" t="str">
        <f>HYPERLINK("https://drive.google.com/file/d/1ipeDT3eS9-gJmK9qFXbvIgiLws0tXo0y/view?usp=drivesdk","Jump 3 - Victoria.pdf")</f>
        <v>Jump 3 - Victoria.pdf</v>
      </c>
      <c r="B350" s="12" t="str">
        <f t="shared" si="78"/>
        <v>DriveAnon's 4chan Drive/2. EVERYONE ELSE'S JUMPS/3. Series/Paradox Grand Strategy</v>
      </c>
    </row>
    <row r="351">
      <c r="A351" s="12" t="str">
        <f>HYPERLINK("https://drive.google.com/file/d/1841jSRhKmnB1on01Hd3b9dKaPfKm7CxO/view?usp=drivesdk","Pacific Rim_JumpChain_P.3.jpg")</f>
        <v>Pacific Rim_JumpChain_P.3.jpg</v>
      </c>
      <c r="B351" s="12" t="str">
        <f t="shared" ref="B351:B359" si="79">HYPERLINK("https://drive.google.com/drive/folders/12H8lyQIkuy_dSIofWd4zPt6vdsSX_mi8","DriveAnon's 4chan Drive/2. EVERYONE ELSE'S JUMPS/3. Series/Pacific Rim JumpChain")</f>
        <v>DriveAnon's 4chan Drive/2. EVERYONE ELSE'S JUMPS/3. Series/Pacific Rim JumpChain</v>
      </c>
    </row>
    <row r="352">
      <c r="A352" s="12" t="str">
        <f>HYPERLINK("https://drive.google.com/file/d/1HCtnLsHiEvFxS6VyyY5vdapYKtaCKKVF/view?usp=drivesdk","Pacific Rim_JumpChain_P.7.jpg")</f>
        <v>Pacific Rim_JumpChain_P.7.jpg</v>
      </c>
      <c r="B352" s="12" t="str">
        <f t="shared" si="79"/>
        <v>DriveAnon's 4chan Drive/2. EVERYONE ELSE'S JUMPS/3. Series/Pacific Rim JumpChain</v>
      </c>
    </row>
    <row r="353">
      <c r="A353" s="12" t="str">
        <f>HYPERLINK("https://drive.google.com/file/d/1QKzgIHa8702j70ON6Mpaj2iN4ML77HCm/view?usp=drivesdk","Pacific Rim_JumpChain_P.4.jpg")</f>
        <v>Pacific Rim_JumpChain_P.4.jpg</v>
      </c>
      <c r="B353" s="12" t="str">
        <f t="shared" si="79"/>
        <v>DriveAnon's 4chan Drive/2. EVERYONE ELSE'S JUMPS/3. Series/Pacific Rim JumpChain</v>
      </c>
    </row>
    <row r="354">
      <c r="A354" s="12" t="str">
        <f>HYPERLINK("https://drive.google.com/file/d/1R6jtXkdZr17fhcZh8WTP-MX4owbI6o7_/view?usp=drivesdk","Pacific Rim_JumpChain_P.1.jpg")</f>
        <v>Pacific Rim_JumpChain_P.1.jpg</v>
      </c>
      <c r="B354" s="12" t="str">
        <f t="shared" si="79"/>
        <v>DriveAnon's 4chan Drive/2. EVERYONE ELSE'S JUMPS/3. Series/Pacific Rim JumpChain</v>
      </c>
    </row>
    <row r="355">
      <c r="A355" s="12" t="str">
        <f>HYPERLINK("https://drive.google.com/file/d/1UYHqlyeFUMJTPz-1Cj0xXtcnzMCMHziz/view?usp=drivesdk","Pacific Rim JumpChain-V.1.0.pdf")</f>
        <v>Pacific Rim JumpChain-V.1.0.pdf</v>
      </c>
      <c r="B355" s="12" t="str">
        <f t="shared" si="79"/>
        <v>DriveAnon's 4chan Drive/2. EVERYONE ELSE'S JUMPS/3. Series/Pacific Rim JumpChain</v>
      </c>
    </row>
    <row r="356">
      <c r="A356" s="12" t="str">
        <f>HYPERLINK("https://drive.google.com/file/d/1gjMUjhKkG21CzabR0XL-Ed3txl9LE2Bb/view?usp=drivesdk","Pacific Rim_JumpChain_P.6.jpg")</f>
        <v>Pacific Rim_JumpChain_P.6.jpg</v>
      </c>
      <c r="B356" s="12" t="str">
        <f t="shared" si="79"/>
        <v>DriveAnon's 4chan Drive/2. EVERYONE ELSE'S JUMPS/3. Series/Pacific Rim JumpChain</v>
      </c>
    </row>
    <row r="357">
      <c r="A357" s="12" t="str">
        <f>HYPERLINK("https://drive.google.com/file/d/1hJRy76ZPVEx9TrqyrmkMqM-Fy-pYRi_G/view?usp=drivesdk","Pacific Rim_JumpChain_P.2.jpg")</f>
        <v>Pacific Rim_JumpChain_P.2.jpg</v>
      </c>
      <c r="B357" s="12" t="str">
        <f t="shared" si="79"/>
        <v>DriveAnon's 4chan Drive/2. EVERYONE ELSE'S JUMPS/3. Series/Pacific Rim JumpChain</v>
      </c>
    </row>
    <row r="358">
      <c r="A358" s="12" t="str">
        <f>HYPERLINK("https://drive.google.com/file/d/1o-V4q2yTtjkE_eh0zDCqNzAhct8nN3MO/view?usp=drivesdk","Pacific Rim_JumpChain_P.8.jpg")</f>
        <v>Pacific Rim_JumpChain_P.8.jpg</v>
      </c>
      <c r="B358" s="12" t="str">
        <f t="shared" si="79"/>
        <v>DriveAnon's 4chan Drive/2. EVERYONE ELSE'S JUMPS/3. Series/Pacific Rim JumpChain</v>
      </c>
    </row>
    <row r="359">
      <c r="A359" s="12" t="str">
        <f>HYPERLINK("https://drive.google.com/file/d/1ucU7uDP12UzL5kYrAJFlJnLlzjI0t69q/view?usp=drivesdk","Pacific Rim_JumpChain_P.5.jpg")</f>
        <v>Pacific Rim_JumpChain_P.5.jpg</v>
      </c>
      <c r="B359" s="12" t="str">
        <f t="shared" si="79"/>
        <v>DriveAnon's 4chan Drive/2. EVERYONE ELSE'S JUMPS/3. Series/Pacific Rim JumpChain</v>
      </c>
    </row>
    <row r="360">
      <c r="A360" s="12" t="str">
        <f>HYPERLINK("https://drive.google.com/file/d/1-1yxv8C-Z1bY8PeQjieqs1ufCa4pDg4x/view?usp=drivesdk","Overlord (The Series) JumpChain.pdf")</f>
        <v>Overlord (The Series) JumpChain.pdf</v>
      </c>
      <c r="B360" s="12" t="str">
        <f t="shared" ref="B360:B361" si="80">HYPERLINK("https://drive.google.com/drive/folders/1wlqM789Zk2BiM1tLEM7vr_nw5fg2Q-tB","DriveAnon's 4chan Drive/2. EVERYONE ELSE'S JUMPS/3. Series/Overlord")</f>
        <v>DriveAnon's 4chan Drive/2. EVERYONE ELSE'S JUMPS/3. Series/Overlord</v>
      </c>
    </row>
    <row r="361">
      <c r="A361" s="12" t="str">
        <f>HYPERLINK("https://drive.google.com/file/d/1-n4v_W1-H_t1j9MUaMLIezros7Obw9Gp/view?usp=drivesdk","Overlord (The Series) Guild Base Supplement.pdf")</f>
        <v>Overlord (The Series) Guild Base Supplement.pdf</v>
      </c>
      <c r="B361" s="12" t="str">
        <f t="shared" si="80"/>
        <v>DriveAnon's 4chan Drive/2. EVERYONE ELSE'S JUMPS/3. Series/Overlord</v>
      </c>
    </row>
    <row r="362">
      <c r="A362" s="12" t="str">
        <f>HYPERLINK("https://drive.google.com/file/d/1mr2W_BzXqFGp4U0qltJqcaBsEwPpRmvX/view?usp=drivesdk","One Piece JumpChain.pdf")</f>
        <v>One Piece JumpChain.pdf</v>
      </c>
      <c r="B362" s="12" t="str">
        <f>HYPERLINK("https://drive.google.com/drive/folders/1r2uFrwU1qh-epsEy_NOtV5QvyMAg-Fj9","DriveAnon's 4chan Drive/2. EVERYONE ELSE'S JUMPS/3. Series/One Piece_")</f>
        <v>DriveAnon's 4chan Drive/2. EVERYONE ELSE'S JUMPS/3. Series/One Piece_</v>
      </c>
    </row>
    <row r="363">
      <c r="A363" s="12" t="str">
        <f>HYPERLINK("https://drive.google.com/file/d/16tGm5BzGZ_b9V3NhC77oBJ37fkSr2nQf/view?usp=drivesdk","One Piece (High Power) Jumpchain.pdf")</f>
        <v>One Piece (High Power) Jumpchain.pdf</v>
      </c>
      <c r="B363" s="12" t="str">
        <f t="shared" ref="B363:B365" si="81">HYPERLINK("https://drive.google.com/drive/folders/1NOQ-9fl5KrTBRQsOp_B5a76_3g9YJalV","DriveAnon's 4chan Drive/2. EVERYONE ELSE'S JUMPS/3. Series/One Piece_/One Piece  (Old)")</f>
        <v>DriveAnon's 4chan Drive/2. EVERYONE ELSE'S JUMPS/3. Series/One Piece_/One Piece  (Old)</v>
      </c>
    </row>
    <row r="364">
      <c r="A364" s="12" t="str">
        <f>HYPERLINK("https://drive.google.com/file/d/1XGxp69FJlMbnPQrM_Uc-ADxlqiADuAlx/view?usp=drivesdk","One Piece (Low Power)  JumpChain.pdf")</f>
        <v>One Piece (Low Power)  JumpChain.pdf</v>
      </c>
      <c r="B364" s="12" t="str">
        <f t="shared" si="81"/>
        <v>DriveAnon's 4chan Drive/2. EVERYONE ELSE'S JUMPS/3. Series/One Piece_/One Piece  (Old)</v>
      </c>
    </row>
    <row r="365">
      <c r="A365" s="12" t="str">
        <f>HYPERLINK("https://drive.google.com/file/d/1fMuKW5i0uyZ7lOsKkOBIEy8xMS1daUWN/view?usp=drivesdk","One Piece JumpChain.pdf")</f>
        <v>One Piece JumpChain.pdf</v>
      </c>
      <c r="B365" s="12" t="str">
        <f t="shared" si="81"/>
        <v>DriveAnon's 4chan Drive/2. EVERYONE ELSE'S JUMPS/3. Series/One Piece_/One Piece  (Old)</v>
      </c>
    </row>
    <row r="366">
      <c r="A366" s="12" t="str">
        <f>HYPERLINK("https://drive.google.com/file/d/11w_Rw9ePOYvctBt9aykBv1Wl9xWg7lgq/view?usp=drivesdk","Megaman ZX_ZX Advent.pdf")</f>
        <v>Megaman ZX_ZX Advent.pdf</v>
      </c>
      <c r="B366" s="12" t="str">
        <f t="shared" ref="B366:B369" si="82">HYPERLINK("https://drive.google.com/drive/folders/13BTmOIFwg0kVGbzY3y-ov1VXgBmB7Sef","DriveAnon's 4chan Drive/2. EVERYONE ELSE'S JUMPS/3. Series/Mega Man")</f>
        <v>DriveAnon's 4chan Drive/2. EVERYONE ELSE'S JUMPS/3. Series/Mega Man</v>
      </c>
    </row>
    <row r="367">
      <c r="A367" s="12" t="str">
        <f>HYPERLINK("https://drive.google.com/file/d/18i2BA0YZbnLqGU4GHpEuDT_1Yvq_mFuy/view?usp=drivesdk","Mega Man X Jumpchain.pdf")</f>
        <v>Mega Man X Jumpchain.pdf</v>
      </c>
      <c r="B367" s="12" t="str">
        <f t="shared" si="82"/>
        <v>DriveAnon's 4chan Drive/2. EVERYONE ELSE'S JUMPS/3. Series/Mega Man</v>
      </c>
    </row>
    <row r="368">
      <c r="A368" s="12" t="str">
        <f>HYPERLINK("https://drive.google.com/file/d/1FODv1Z63N8xWOELihEFKsZ1biJZUOgbj/view?usp=drivesdk","Mega Man Zero JumpChain.pdf")</f>
        <v>Mega Man Zero JumpChain.pdf</v>
      </c>
      <c r="B368" s="12" t="str">
        <f t="shared" si="82"/>
        <v>DriveAnon's 4chan Drive/2. EVERYONE ELSE'S JUMPS/3. Series/Mega Man</v>
      </c>
    </row>
    <row r="369">
      <c r="A369" s="12" t="str">
        <f>HYPERLINK("https://drive.google.com/file/d/1HZxVnoxdAYb385mZbrGTOxCLfKVdmxf3/view?usp=drivesdk","Mega Man Battle Network Jumpchain.pdf")</f>
        <v>Mega Man Battle Network Jumpchain.pdf</v>
      </c>
      <c r="B369" s="12" t="str">
        <f t="shared" si="82"/>
        <v>DriveAnon's 4chan Drive/2. EVERYONE ELSE'S JUMPS/3. Series/Mega Man</v>
      </c>
    </row>
    <row r="370">
      <c r="A370" s="12" t="str">
        <f>HYPERLINK("https://drive.google.com/file/d/1nZ54qU8r5eLVE6OyYju5mVdeTYWXRARD/view?usp=drivesdk","Mega Man Classic CYOA.pdf")</f>
        <v>Mega Man Classic CYOA.pdf</v>
      </c>
      <c r="B370" s="12" t="str">
        <f t="shared" ref="B370:B373" si="83">HYPERLINK("https://drive.google.com/drive/folders/1WADixf0aSGFfLlhdevXluvKsdMvzyvNS","DriveAnon's 4chan Drive/2. EVERYONE ELSE'S JUMPS/3. Series/Mega Man/Mega Man Classic")</f>
        <v>DriveAnon's 4chan Drive/2. EVERYONE ELSE'S JUMPS/3. Series/Mega Man/Mega Man Classic</v>
      </c>
    </row>
    <row r="371">
      <c r="A371" s="12" t="str">
        <f>HYPERLINK("https://drive.google.com/file/d/18FfS81GpuMEo24t3ywfgL9t0hYu3LL7p/view?usp=drivesdk","MMC Secret Ending.png")</f>
        <v>MMC Secret Ending.png</v>
      </c>
      <c r="B371" s="12" t="str">
        <f t="shared" si="83"/>
        <v>DriveAnon's 4chan Drive/2. EVERYONE ELSE'S JUMPS/3. Series/Mega Man/Mega Man Classic</v>
      </c>
    </row>
    <row r="372">
      <c r="A372" s="12" t="str">
        <f>HYPERLINK("https://drive.google.com/file/d/1KUvBbYtqkbUI2Cg_nRe1wqvGUcIOW6Ad/view?usp=drivesdk","Megaman Bot CYOA.jpg")</f>
        <v>Megaman Bot CYOA.jpg</v>
      </c>
      <c r="B372" s="12" t="str">
        <f t="shared" si="83"/>
        <v>DriveAnon's 4chan Drive/2. EVERYONE ELSE'S JUMPS/3. Series/Mega Man/Mega Man Classic</v>
      </c>
    </row>
    <row r="373">
      <c r="A373" s="12" t="str">
        <f>HYPERLINK("https://drive.google.com/file/d/1h-2izkonjaPppAbYM3Yh77gqxlSXBVSr/view?usp=drivesdk","MMC Page 0.jpg")</f>
        <v>MMC Page 0.jpg</v>
      </c>
      <c r="B373" s="12" t="str">
        <f t="shared" si="83"/>
        <v>DriveAnon's 4chan Drive/2. EVERYONE ELSE'S JUMPS/3. Series/Mega Man/Mega Man Classic</v>
      </c>
    </row>
    <row r="374">
      <c r="A374" s="12" t="str">
        <f>HYPERLINK("https://drive.google.com/file/d/1LCsep6npnXSzbh_3bD2QbVUfSu4DuGjT/view?usp=drivesdk","Medaka Box Abnormal JumpChain.pdf")</f>
        <v>Medaka Box Abnormal JumpChain.pdf</v>
      </c>
      <c r="B374" s="12" t="str">
        <f t="shared" ref="B374:B375" si="84">HYPERLINK("https://drive.google.com/drive/folders/1eFf4xbIhqqOi4IodKqSsSq7Dj8DmafY0","DriveAnon's 4chan Drive/2. EVERYONE ELSE'S JUMPS/3. Series/Medaka Box")</f>
        <v>DriveAnon's 4chan Drive/2. EVERYONE ELSE'S JUMPS/3. Series/Medaka Box</v>
      </c>
    </row>
    <row r="375">
      <c r="A375" s="12" t="str">
        <f>HYPERLINK("https://drive.google.com/file/d/1gkYq9GaQZattm9zXtbzzzYGffEsDsL4v/view?usp=drivesdk","MedakaBox Jumpchain.pdf")</f>
        <v>MedakaBox Jumpchain.pdf</v>
      </c>
      <c r="B375" s="12" t="str">
        <f t="shared" si="84"/>
        <v>DriveAnon's 4chan Drive/2. EVERYONE ELSE'S JUMPS/3. Series/Medaka Box</v>
      </c>
    </row>
    <row r="376">
      <c r="A376" s="12" t="str">
        <f>HYPERLINK("https://drive.google.com/file/d/1OzzQJr75hMRFT0qaK9Ixj2kMz7bE2uX9/view?usp=drivesdk","Night Angel JumpChain.pdf")</f>
        <v>Night Angel JumpChain.pdf</v>
      </c>
      <c r="B376" s="12" t="str">
        <f t="shared" ref="B376:B377" si="85">HYPERLINK("https://drive.google.com/drive/folders/1Fh0LfFgZg_d-I3Gqwo03_o-teFGYiQUV","DriveAnon's 4chan Drive/2. EVERYONE ELSE'S JUMPS/3. Series/Night Angel")</f>
        <v>DriveAnon's 4chan Drive/2. EVERYONE ELSE'S JUMPS/3. Series/Night Angel</v>
      </c>
    </row>
    <row r="377">
      <c r="A377" s="12" t="str">
        <f>HYPERLINK("https://drive.google.com/file/d/1i44uICm4mRgB1Oq8qIFxI44mTFboTHkv/view?usp=drivesdk","Night Angel Jump Talent Supplement.pdf")</f>
        <v>Night Angel Jump Talent Supplement.pdf</v>
      </c>
      <c r="B377" s="12" t="str">
        <f t="shared" si="85"/>
        <v>DriveAnon's 4chan Drive/2. EVERYONE ELSE'S JUMPS/3. Series/Night Angel</v>
      </c>
    </row>
    <row r="378">
      <c r="A378" s="12" t="str">
        <f>HYPERLINK("https://drive.google.com/file/d/1C5GamcQxt6KOSsPUjitwsO7YmGov_uED/view?usp=drivesdk","Monster Hunter World JumpChain.pdf")</f>
        <v>Monster Hunter World JumpChain.pdf</v>
      </c>
      <c r="B378" s="12" t="str">
        <f t="shared" ref="B378:B380" si="86">HYPERLINK("https://drive.google.com/drive/folders/1G_r4w7txQ1RuAz0_m3KupF_th9ZU9FQZ","DriveAnon's 4chan Drive/2. EVERYONE ELSE'S JUMPS/3. Series/Monster Hunter")</f>
        <v>DriveAnon's 4chan Drive/2. EVERYONE ELSE'S JUMPS/3. Series/Monster Hunter</v>
      </c>
    </row>
    <row r="379">
      <c r="A379" s="12" t="str">
        <f>HYPERLINK("https://drive.google.com/file/d/1ZM6Vhy_tDhMpe0XQp3X69cpevr0K1GQb/view?usp=drivesdk","Monster Species Build Supplement.pdf")</f>
        <v>Monster Species Build Supplement.pdf</v>
      </c>
      <c r="B379" s="12" t="str">
        <f t="shared" si="86"/>
        <v>DriveAnon's 4chan Drive/2. EVERYONE ELSE'S JUMPS/3. Series/Monster Hunter</v>
      </c>
    </row>
    <row r="380">
      <c r="A380" s="12" t="str">
        <f>HYPERLINK("https://drive.google.com/file/d/1qwCj29XWYC8H3qQ0xyeyn2pAv5trdzfj/view?usp=drivesdk","Monster Hunter JumpChain.pdf")</f>
        <v>Monster Hunter JumpChain.pdf</v>
      </c>
      <c r="B380" s="12" t="str">
        <f t="shared" si="86"/>
        <v>DriveAnon's 4chan Drive/2. EVERYONE ELSE'S JUMPS/3. Series/Monster Hunter</v>
      </c>
    </row>
    <row r="381">
      <c r="A381" s="12" t="str">
        <f>HYPERLINK("https://drive.google.com/file/d/1dpNsgLUIsYbVZZ4ySa0WsIScQUKHtIkF/view?usp=drivesdk","UQ Holder.pdf")</f>
        <v>UQ Holder.pdf</v>
      </c>
      <c r="B381" s="12" t="str">
        <f t="shared" ref="B381:B382" si="87">HYPERLINK("https://drive.google.com/drive/folders/1XVIQSY5ehEVIk_pesDsoNeZEIFZZDT2L","DriveAnon's 4chan Drive/2. EVERYONE ELSE'S JUMPS/3. Series/Negima")</f>
        <v>DriveAnon's 4chan Drive/2. EVERYONE ELSE'S JUMPS/3. Series/Negima</v>
      </c>
    </row>
    <row r="382">
      <c r="A382" s="12" t="str">
        <f>HYPERLINK("https://drive.google.com/file/d/1VKW3s2-97f5Mwcf-JNeRRvRwxoa1_1Yd/view?usp=drivesdk","Mahou Sensei Negima JumpChain.pdf")</f>
        <v>Mahou Sensei Negima JumpChain.pdf</v>
      </c>
      <c r="B382" s="12" t="str">
        <f t="shared" si="87"/>
        <v>DriveAnon's 4chan Drive/2. EVERYONE ELSE'S JUMPS/3. Series/Negima</v>
      </c>
    </row>
    <row r="383">
      <c r="A383" s="12" t="str">
        <f>HYPERLINK("https://drive.google.com/file/d/13YC8mDD9p35dykZiKQD8R106X_sQ9XKv/view?usp=drivesdk","MtG - Kamigawa Neon Dynasty.pdf")</f>
        <v>MtG - Kamigawa Neon Dynasty.pdf</v>
      </c>
      <c r="B383" s="12" t="str">
        <f t="shared" ref="B383:B392" si="88">HYPERLINK("https://drive.google.com/drive/folders/1c7eoCwq9nw9ABpSzAWuOEVyTx7butJ7I","DriveAnon's 4chan Drive/2. EVERYONE ELSE'S JUMPS/3. Series/MtG")</f>
        <v>DriveAnon's 4chan Drive/2. EVERYONE ELSE'S JUMPS/3. Series/MtG</v>
      </c>
    </row>
    <row r="384">
      <c r="A384" s="12" t="str">
        <f>HYPERLINK("https://drive.google.com/file/d/1hD3QrzQ-m5QVmZhdZLd0aOilVv8XN498/view?usp=drivesdk","MtG - Throne Of Eldraine.pdf")</f>
        <v>MtG - Throne Of Eldraine.pdf</v>
      </c>
      <c r="B384" s="12" t="str">
        <f t="shared" si="88"/>
        <v>DriveAnon's 4chan Drive/2. EVERYONE ELSE'S JUMPS/3. Series/MtG</v>
      </c>
    </row>
    <row r="385">
      <c r="A385" s="12" t="str">
        <f>HYPERLINK("https://drive.google.com/file/d/1NSr01LHQc0IEmwm3E0Q8WvXxRp_BIQpY/view?usp=drivesdk","MtG - Homelands.pdf")</f>
        <v>MtG - Homelands.pdf</v>
      </c>
      <c r="B385" s="12" t="str">
        <f t="shared" si="88"/>
        <v>DriveAnon's 4chan Drive/2. EVERYONE ELSE'S JUMPS/3. Series/MtG</v>
      </c>
    </row>
    <row r="386">
      <c r="A386" s="12" t="str">
        <f>HYPERLINK("https://drive.google.com/file/d/1kbMMoUPTsxVKQtie80G0xmUqweziNrYp/view?usp=drivesdk","MtG - Lorwyn.pdf")</f>
        <v>MtG - Lorwyn.pdf</v>
      </c>
      <c r="B386" s="12" t="str">
        <f t="shared" si="88"/>
        <v>DriveAnon's 4chan Drive/2. EVERYONE ELSE'S JUMPS/3. Series/MtG</v>
      </c>
    </row>
    <row r="387">
      <c r="A387" s="12" t="str">
        <f>HYPERLINK("https://drive.google.com/file/d/1-Cu1H9mb5x2ZMh8ZYlF0lUAc5hNVxSZD/view?usp=drivesdk","MtG - New Phyrexia JumpChain.pdf")</f>
        <v>MtG - New Phyrexia JumpChain.pdf</v>
      </c>
      <c r="B387" s="12" t="str">
        <f t="shared" si="88"/>
        <v>DriveAnon's 4chan Drive/2. EVERYONE ELSE'S JUMPS/3. Series/MtG</v>
      </c>
    </row>
    <row r="388">
      <c r="A388" s="12" t="str">
        <f>HYPERLINK("https://drive.google.com/file/d/10lorgNmOlwl49rNnjTsSlErGcOemXBKv/view?usp=drivesdk","MtG - Zendikar JumpChain.pdf")</f>
        <v>MtG - Zendikar JumpChain.pdf</v>
      </c>
      <c r="B388" s="12" t="str">
        <f t="shared" si="88"/>
        <v>DriveAnon's 4chan Drive/2. EVERYONE ELSE'S JUMPS/3. Series/MtG</v>
      </c>
    </row>
    <row r="389">
      <c r="A389" s="12" t="str">
        <f>HYPERLINK("https://drive.google.com/file/d/1NU1S9hwP_sahnUWuh-CmxLkwqf_rE9N-/view?usp=drivesdk","MtG - Innistrad JumpChain.pdf")</f>
        <v>MtG - Innistrad JumpChain.pdf</v>
      </c>
      <c r="B389" s="12" t="str">
        <f t="shared" si="88"/>
        <v>DriveAnon's 4chan Drive/2. EVERYONE ELSE'S JUMPS/3. Series/MtG</v>
      </c>
    </row>
    <row r="390">
      <c r="A390" s="12" t="str">
        <f>HYPERLINK("https://drive.google.com/file/d/1kOQbbkNhqVxREMrVFDvggt2g13QmoF9A/view?usp=drivesdk","Magic The Gathering - Iconics JumpChain.pdf")</f>
        <v>Magic The Gathering - Iconics JumpChain.pdf</v>
      </c>
      <c r="B390" s="12" t="str">
        <f t="shared" si="88"/>
        <v>DriveAnon's 4chan Drive/2. EVERYONE ELSE'S JUMPS/3. Series/MtG</v>
      </c>
    </row>
    <row r="391">
      <c r="A391" s="12" t="str">
        <f>HYPERLINK("https://drive.google.com/file/d/1oVMfyNe_ygRBCnM7lKTR-dnlzLXXJkDu/view?usp=drivesdk","MtG - Bablovia JumpChain.pdf")</f>
        <v>MtG - Bablovia JumpChain.pdf</v>
      </c>
      <c r="B391" s="12" t="str">
        <f t="shared" si="88"/>
        <v>DriveAnon's 4chan Drive/2. EVERYONE ELSE'S JUMPS/3. Series/MtG</v>
      </c>
    </row>
    <row r="392">
      <c r="A392" s="12" t="str">
        <f>HYPERLINK("https://drive.google.com/file/d/1x9ytdJH-AiNOhIIXojkf8yMOW3mc5EnL/view?usp=drivesdk","MtG - Kamigawa JumpChain.pdf")</f>
        <v>MtG - Kamigawa JumpChain.pdf</v>
      </c>
      <c r="B392" s="12" t="str">
        <f t="shared" si="88"/>
        <v>DriveAnon's 4chan Drive/2. EVERYONE ELSE'S JUMPS/3. Series/MtG</v>
      </c>
    </row>
    <row r="393">
      <c r="A393" s="12" t="str">
        <f>HYPERLINK("https://drive.google.com/file/d/1D5DsTPQYQXkKSiDdRY4UPNudY7zRECTq/view?usp=drivesdk","Metal Slug JumpChain.pdf")</f>
        <v>Metal Slug JumpChain.pdf</v>
      </c>
      <c r="B393" s="12" t="str">
        <f t="shared" ref="B393:B394" si="89">HYPERLINK("https://drive.google.com/drive/folders/1dKAdqpx3FgzHtuCO1geNTEH7w5LFQmWq","DriveAnon's 4chan Drive/2. EVERYONE ELSE'S JUMPS/3. Series/Metal Slug")</f>
        <v>DriveAnon's 4chan Drive/2. EVERYONE ELSE'S JUMPS/3. Series/Metal Slug</v>
      </c>
    </row>
    <row r="394">
      <c r="A394" s="12" t="str">
        <f>HYPERLINK("https://drive.google.com/file/d/1adOQY9SMPPBFiMVzywL_hd0JZOfaYeyt/view?usp=drivesdk","Metal Slug JumpChain Bleach It White.pdf")</f>
        <v>Metal Slug JumpChain Bleach It White.pdf</v>
      </c>
      <c r="B394" s="12" t="str">
        <f t="shared" si="89"/>
        <v>DriveAnon's 4chan Drive/2. EVERYONE ELSE'S JUMPS/3. Series/Metal Slug</v>
      </c>
    </row>
    <row r="395">
      <c r="A395" s="12" t="str">
        <f>HYPERLINK("https://drive.google.com/file/d/1DAutrq2wosb07KN-P-VJOnUzlvTI-r4d/view?usp=drivesdk","Needless JumpChain (Black Version).pdf")</f>
        <v>Needless JumpChain (Black Version).pdf</v>
      </c>
      <c r="B395" s="12" t="str">
        <f t="shared" ref="B395:B396" si="90">HYPERLINK("https://drive.google.com/drive/folders/1ldjoOeMItep6efcQLIcVAjGu65uLjPVl","DriveAnon's 4chan Drive/2. EVERYONE ELSE'S JUMPS/3. Series/Needless")</f>
        <v>DriveAnon's 4chan Drive/2. EVERYONE ELSE'S JUMPS/3. Series/Needless</v>
      </c>
    </row>
    <row r="396">
      <c r="A396" s="12" t="str">
        <f>HYPERLINK("https://drive.google.com/file/d/1ZyyN5lR4DigyoxWK9-MzUSxyngRBKxdJ/view?usp=drivesdk","Needless JumpChain (White Version).pdf")</f>
        <v>Needless JumpChain (White Version).pdf</v>
      </c>
      <c r="B396" s="12" t="str">
        <f t="shared" si="90"/>
        <v>DriveAnon's 4chan Drive/2. EVERYONE ELSE'S JUMPS/3. Series/Needless</v>
      </c>
    </row>
    <row r="397">
      <c r="A397" s="12" t="str">
        <f>HYPERLINK("https://drive.google.com/file/d/1P8jYUHmEesk8WHx28qWYNy1v0AWs8djl/view?usp=drivesdk","Metal Gear Rising (Red's Version).pdf")</f>
        <v>Metal Gear Rising (Red's Version).pdf</v>
      </c>
      <c r="B397" s="12" t="str">
        <f t="shared" ref="B397:B400" si="91">HYPERLINK("https://drive.google.com/drive/folders/1p3JXAkmu2wos0DCA1Aww7xJvXcXJvsn_","DriveAnon's 4chan Drive/2. EVERYONE ELSE'S JUMPS/3. Series/Metal Gear Solid")</f>
        <v>DriveAnon's 4chan Drive/2. EVERYONE ELSE'S JUMPS/3. Series/Metal Gear Solid</v>
      </c>
    </row>
    <row r="398">
      <c r="A398" s="12" t="str">
        <f>HYPERLINK("https://drive.google.com/file/d/1N41eFB74YLZO5vjYz3QlGzVVG3dnYZ1e/view?usp=drivesdk","Metal Gear Rising JumpChain.pdf")</f>
        <v>Metal Gear Rising JumpChain.pdf</v>
      </c>
      <c r="B398" s="12" t="str">
        <f t="shared" si="91"/>
        <v>DriveAnon's 4chan Drive/2. EVERYONE ELSE'S JUMPS/3. Series/Metal Gear Solid</v>
      </c>
    </row>
    <row r="399">
      <c r="A399" s="12" t="str">
        <f>HYPERLINK("https://drive.google.com/file/d/1ZCVIiwrXm0lxPpmKfk76uK5gt-Kbio2q/view?usp=drivesdk","Metal Gear Survive JumpChain.pdf")</f>
        <v>Metal Gear Survive JumpChain.pdf</v>
      </c>
      <c r="B399" s="12" t="str">
        <f t="shared" si="91"/>
        <v>DriveAnon's 4chan Drive/2. EVERYONE ELSE'S JUMPS/3. Series/Metal Gear Solid</v>
      </c>
    </row>
    <row r="400">
      <c r="A400" s="12" t="str">
        <f>HYPERLINK("https://drive.google.com/file/d/1_B2oztqQaxc5QL6bcyBnGanP2BH4cAc0/view?usp=drivesdk","Metal Gear Solid JumpChain.pdf")</f>
        <v>Metal Gear Solid JumpChain.pdf</v>
      </c>
      <c r="B400" s="12" t="str">
        <f t="shared" si="91"/>
        <v>DriveAnon's 4chan Drive/2. EVERYONE ELSE'S JUMPS/3. Series/Metal Gear Solid</v>
      </c>
    </row>
    <row r="401">
      <c r="A401" s="12" t="str">
        <f>HYPERLINK("https://drive.google.com/file/d/1UVM5nlUn-Tr4nNzDJNUSAqzUPNc1rhmN/view?usp=drivesdk","Mortal Kombat 9-10.pdf")</f>
        <v>Mortal Kombat 9-10.pdf</v>
      </c>
      <c r="B401" s="12" t="str">
        <f t="shared" ref="B401:B402" si="92">HYPERLINK("https://drive.google.com/drive/folders/1pt15Jo1XisHsK3L3F1jWPrW29y4vswY9","DriveAnon's 4chan Drive/2. EVERYONE ELSE'S JUMPS/3. Series/Mortal Kombat")</f>
        <v>DriveAnon's 4chan Drive/2. EVERYONE ELSE'S JUMPS/3. Series/Mortal Kombat</v>
      </c>
    </row>
    <row r="402">
      <c r="A402" s="12" t="str">
        <f>HYPERLINK("https://drive.google.com/file/d/1yoOTy0zfLLsLojNaihaTE2JsHPVkXO3n/view?usp=drivesdk","Mortal Kombat 9-10 Kostume Supplement.pdf")</f>
        <v>Mortal Kombat 9-10 Kostume Supplement.pdf</v>
      </c>
      <c r="B402" s="12" t="str">
        <f t="shared" si="92"/>
        <v>DriveAnon's 4chan Drive/2. EVERYONE ELSE'S JUMPS/3. Series/Mortal Kombat</v>
      </c>
    </row>
    <row r="403">
      <c r="A403" s="12" t="str">
        <f>HYPERLINK("https://drive.google.com/file/d/14sRjtmyM9ra1FdBA8Vf_U8U2OUOuHZBF/view?usp=drivesdk","Mario Golf Super Rush.pdf")</f>
        <v>Mario Golf Super Rush.pdf</v>
      </c>
      <c r="B403" s="12" t="str">
        <f t="shared" ref="B403:B415" si="93">HYPERLINK("https://drive.google.com/drive/folders/15qCacaVJGuVIpNfvD9Ho2pNJuZ2wTcQ3","DriveAnon's 4chan Drive/2. EVERYONE ELSE'S JUMPS/3. Series/Mario")</f>
        <v>DriveAnon's 4chan Drive/2. EVERYONE ELSE'S JUMPS/3. Series/Mario</v>
      </c>
    </row>
    <row r="404">
      <c r="A404" s="12" t="str">
        <f>HYPERLINK("https://drive.google.com/file/d/1LwwOqADysoUIdA_I5tnNHukmW93z5Vs6/view?usp=drivesdk","Mario Superstar Baseball.pdf")</f>
        <v>Mario Superstar Baseball.pdf</v>
      </c>
      <c r="B404" s="12" t="str">
        <f t="shared" si="93"/>
        <v>DriveAnon's 4chan Drive/2. EVERYONE ELSE'S JUMPS/3. Series/Mario</v>
      </c>
    </row>
    <row r="405">
      <c r="A405" s="12" t="str">
        <f>HYPERLINK("https://drive.google.com/file/d/1bHKD1ict9klZT1fkVmljd_prGMph_GQ9/view?usp=drivesdk","Captain Toad Gauntlet.pdf")</f>
        <v>Captain Toad Gauntlet.pdf</v>
      </c>
      <c r="B405" s="12" t="str">
        <f t="shared" si="93"/>
        <v>DriveAnon's 4chan Drive/2. EVERYONE ELSE'S JUMPS/3. Series/Mario</v>
      </c>
    </row>
    <row r="406">
      <c r="A406" s="12" t="str">
        <f>HYPERLINK("https://drive.google.com/file/d/10GhhiSR27bz-XrCFMEkfmmBSqO_PMp40/view?usp=drivesdk","Luigi's Mansion.pdf")</f>
        <v>Luigi's Mansion.pdf</v>
      </c>
      <c r="B406" s="12" t="str">
        <f t="shared" si="93"/>
        <v>DriveAnon's 4chan Drive/2. EVERYONE ELSE'S JUMPS/3. Series/Mario</v>
      </c>
    </row>
    <row r="407">
      <c r="A407" s="12" t="str">
        <f>HYPERLINK("https://drive.google.com/file/d/1VEQwxSTwyWJe_M2RC4oPW2ndBfUGNGk-/view?usp=drivesdk","Mario Tennis Aces.pdf")</f>
        <v>Mario Tennis Aces.pdf</v>
      </c>
      <c r="B407" s="12" t="str">
        <f t="shared" si="93"/>
        <v>DriveAnon's 4chan Drive/2. EVERYONE ELSE'S JUMPS/3. Series/Mario</v>
      </c>
    </row>
    <row r="408">
      <c r="A408" s="12" t="str">
        <f>HYPERLINK("https://drive.google.com/file/d/1uAjfMxML2KhmzFUX1DXJ-rx6aW9QgFax/view?usp=drivesdk","Super Mario Sunshine.pdf")</f>
        <v>Super Mario Sunshine.pdf</v>
      </c>
      <c r="B408" s="12" t="str">
        <f t="shared" si="93"/>
        <v>DriveAnon's 4chan Drive/2. EVERYONE ELSE'S JUMPS/3. Series/Mario</v>
      </c>
    </row>
    <row r="409">
      <c r="A409" s="12" t="str">
        <f>HYPERLINK("https://drive.google.com/file/d/1ApAICJgQucTrpgL39CULhXl09hlTgHDf/view?usp=drivesdk","Super Mario 64.pdf")</f>
        <v>Super Mario 64.pdf</v>
      </c>
      <c r="B409" s="12" t="str">
        <f t="shared" si="93"/>
        <v>DriveAnon's 4chan Drive/2. EVERYONE ELSE'S JUMPS/3. Series/Mario</v>
      </c>
    </row>
    <row r="410">
      <c r="A410" s="12" t="str">
        <f>HYPERLINK("https://drive.google.com/file/d/1gxeKcEi0bZ5DHg-LN-CWB8hfBF215nbn/view?usp=drivesdk","Mario's Mystery Meat.pdf")</f>
        <v>Mario's Mystery Meat.pdf</v>
      </c>
      <c r="B410" s="12" t="str">
        <f t="shared" si="93"/>
        <v>DriveAnon's 4chan Drive/2. EVERYONE ELSE'S JUMPS/3. Series/Mario</v>
      </c>
    </row>
    <row r="411">
      <c r="A411" s="12" t="str">
        <f>HYPERLINK("https://drive.google.com/file/d/1G5PxQY00tpQN9Ojoe58dCRFpnJ8aF_mi/view?usp=drivesdk","Psycho Waluigi.pdf")</f>
        <v>Psycho Waluigi.pdf</v>
      </c>
      <c r="B411" s="12" t="str">
        <f t="shared" si="93"/>
        <v>DriveAnon's 4chan Drive/2. EVERYONE ELSE'S JUMPS/3. Series/Mario</v>
      </c>
    </row>
    <row r="412">
      <c r="A412" s="12" t="str">
        <f>HYPERLINK("https://drive.google.com/file/d/1Gro3WTGylugkhEf-_TobLdr-FPpV9TL0/view?usp=drivesdk","Super Mario RPG JumpChain.pdf")</f>
        <v>Super Mario RPG JumpChain.pdf</v>
      </c>
      <c r="B412" s="12" t="str">
        <f t="shared" si="93"/>
        <v>DriveAnon's 4chan Drive/2. EVERYONE ELSE'S JUMPS/3. Series/Mario</v>
      </c>
    </row>
    <row r="413">
      <c r="A413" s="12" t="str">
        <f>HYPERLINK("https://drive.google.com/file/d/1LdEEEKlY1QyMRl9lneKKyF86nt57XB75/view?usp=drivesdk","Super Mario JumpChain.pdf")</f>
        <v>Super Mario JumpChain.pdf</v>
      </c>
      <c r="B413" s="12" t="str">
        <f t="shared" si="93"/>
        <v>DriveAnon's 4chan Drive/2. EVERYONE ELSE'S JUMPS/3. Series/Mario</v>
      </c>
    </row>
    <row r="414">
      <c r="A414" s="12" t="str">
        <f>HYPERLINK("https://drive.google.com/file/d/1hWFM9yd13PxEHy9pCZNAlYtUQ1MkwOEX/view?usp=drivesdk","A Super Mario Thing JumpChain.pdf")</f>
        <v>A Super Mario Thing JumpChain.pdf</v>
      </c>
      <c r="B414" s="12" t="str">
        <f t="shared" si="93"/>
        <v>DriveAnon's 4chan Drive/2. EVERYONE ELSE'S JUMPS/3. Series/Mario</v>
      </c>
    </row>
    <row r="415">
      <c r="A415" s="12" t="str">
        <f>HYPERLINK("https://drive.google.com/file/d/1hfd24T-dZ5oIfJ3ngn08ynr0SfS6GVID/view?usp=drivesdk","Paper Mario JumpChain.pdf")</f>
        <v>Paper Mario JumpChain.pdf</v>
      </c>
      <c r="B415" s="12" t="str">
        <f t="shared" si="93"/>
        <v>DriveAnon's 4chan Drive/2. EVERYONE ELSE'S JUMPS/3. Series/Mario</v>
      </c>
    </row>
    <row r="416">
      <c r="A416" s="12" t="str">
        <f>HYPERLINK("https://drive.google.com/file/d/19EsSUNy-9NF3K8O5aJlC8D4R9uKfvgUy/view?usp=drivesdk","Blade JumpChain.pdf")</f>
        <v>Blade JumpChain.pdf</v>
      </c>
      <c r="B416" s="12" t="str">
        <f t="shared" ref="B416:B431" si="94">HYPERLINK("https://drive.google.com/drive/folders/1qlSPfOCMG-W2sM95CfyykcHvN_LocChi","DriveAnon's 4chan Drive/2. EVERYONE ELSE'S JUMPS/3. Series/Marvel")</f>
        <v>DriveAnon's 4chan Drive/2. EVERYONE ELSE'S JUMPS/3. Series/Marvel</v>
      </c>
    </row>
    <row r="417">
      <c r="A417" s="12" t="str">
        <f>HYPERLINK("https://drive.google.com/file/d/1b462frfZGr25u7AkHq8aqBeV9KBV0AO5/view?usp=drivesdk","Marvel Cosmic.pdf")</f>
        <v>Marvel Cosmic.pdf</v>
      </c>
      <c r="B417" s="12" t="str">
        <f t="shared" si="94"/>
        <v>DriveAnon's 4chan Drive/2. EVERYONE ELSE'S JUMPS/3. Series/Marvel</v>
      </c>
    </row>
    <row r="418">
      <c r="A418" s="12" t="str">
        <f>HYPERLINK("https://drive.google.com/file/d/18-8LEHvbjOXR-9MMKfhV9DamBybGRxoY/view?usp=drivesdk","Spider-Man the Animated Series.pdf")</f>
        <v>Spider-Man the Animated Series.pdf</v>
      </c>
      <c r="B418" s="12" t="str">
        <f t="shared" si="94"/>
        <v>DriveAnon's 4chan Drive/2. EVERYONE ELSE'S JUMPS/3. Series/Marvel</v>
      </c>
    </row>
    <row r="419">
      <c r="A419" s="12" t="str">
        <f>HYPERLINK("https://drive.google.com/file/d/1YYju7woYYb3Ag_LaaGOc72YRv82zfYTb/view?usp=drivesdk","Spider-Man_ Into the Spider-Verse V1.1.pdf")</f>
        <v>Spider-Man_ Into the Spider-Verse V1.1.pdf</v>
      </c>
      <c r="B419" s="12" t="str">
        <f t="shared" si="94"/>
        <v>DriveAnon's 4chan Drive/2. EVERYONE ELSE'S JUMPS/3. Series/Marvel</v>
      </c>
    </row>
    <row r="420">
      <c r="A420" s="12" t="str">
        <f>HYPERLINK("https://drive.google.com/file/d/14CzCl9ltlrzr9pTbZ0z3RsKsgRmnfknB/view?usp=drivesdk","Galacta Daughter of Galactus JumpChain.pdf")</f>
        <v>Galacta Daughter of Galactus JumpChain.pdf</v>
      </c>
      <c r="B420" s="12" t="str">
        <f t="shared" si="94"/>
        <v>DriveAnon's 4chan Drive/2. EVERYONE ELSE'S JUMPS/3. Series/Marvel</v>
      </c>
    </row>
    <row r="421">
      <c r="A421" s="12" t="str">
        <f>HYPERLINK("https://drive.google.com/file/d/1AMXfXqME68Q6w8cuzwFZhIJNrnPB8I7E/view?usp=drivesdk","The Avengers Earth_s Mightiest Heroes JumpChain.pdf")</f>
        <v>The Avengers Earth_s Mightiest Heroes JumpChain.pdf</v>
      </c>
      <c r="B421" s="12" t="str">
        <f t="shared" si="94"/>
        <v>DriveAnon's 4chan Drive/2. EVERYONE ELSE'S JUMPS/3. Series/Marvel</v>
      </c>
    </row>
    <row r="422">
      <c r="A422" s="12" t="str">
        <f>HYPERLINK("https://drive.google.com/file/d/1AaHi2rXDXWNJrTY0Juk0jcC0WDnTUtNL/view?usp=drivesdk","Spiderman PS4 JumpChain.pdf")</f>
        <v>Spiderman PS4 JumpChain.pdf</v>
      </c>
      <c r="B422" s="12" t="str">
        <f t="shared" si="94"/>
        <v>DriveAnon's 4chan Drive/2. EVERYONE ELSE'S JUMPS/3. Series/Marvel</v>
      </c>
    </row>
    <row r="423">
      <c r="A423" s="12" t="str">
        <f>HYPERLINK("https://drive.google.com/file/d/1AaKF2e1OrPN5BqthIXVFnZ8UveWDBR2w/view?usp=drivesdk","Spider-Man Trilogy JumpChain.pdf")</f>
        <v>Spider-Man Trilogy JumpChain.pdf</v>
      </c>
      <c r="B423" s="12" t="str">
        <f t="shared" si="94"/>
        <v>DriveAnon's 4chan Drive/2. EVERYONE ELSE'S JUMPS/3. Series/Marvel</v>
      </c>
    </row>
    <row r="424">
      <c r="A424" s="12" t="str">
        <f>HYPERLINK("https://drive.google.com/file/d/1ILA4cT3_jeWy_TwQdUcM8-knsIvf25Pu/view?usp=drivesdk","Marvel - Magic Jumpchain.pdf")</f>
        <v>Marvel - Magic Jumpchain.pdf</v>
      </c>
      <c r="B424" s="12" t="str">
        <f t="shared" si="94"/>
        <v>DriveAnon's 4chan Drive/2. EVERYONE ELSE'S JUMPS/3. Series/Marvel</v>
      </c>
    </row>
    <row r="425">
      <c r="A425" s="12" t="str">
        <f>HYPERLINK("https://drive.google.com/file/d/1IyA_jHK8EkBWvle-fRn4cCJqMaqfDsfL/view?usp=drivesdk","Spider-Verse JumpChain.pdf")</f>
        <v>Spider-Verse JumpChain.pdf</v>
      </c>
      <c r="B425" s="12" t="str">
        <f t="shared" si="94"/>
        <v>DriveAnon's 4chan Drive/2. EVERYONE ELSE'S JUMPS/3. Series/Marvel</v>
      </c>
    </row>
    <row r="426">
      <c r="A426" s="12" t="str">
        <f>HYPERLINK("https://drive.google.com/file/d/1Q3U7LPlZGYdmue9lxd8l-P_f_LcTq4AC/view?usp=drivesdk","Ultimate Spider-Man JumpChain.pdf")</f>
        <v>Ultimate Spider-Man JumpChain.pdf</v>
      </c>
      <c r="B426" s="12" t="str">
        <f t="shared" si="94"/>
        <v>DriveAnon's 4chan Drive/2. EVERYONE ELSE'S JUMPS/3. Series/Marvel</v>
      </c>
    </row>
    <row r="427">
      <c r="A427" s="12" t="str">
        <f>HYPERLINK("https://drive.google.com/file/d/1Qpl3wmBdb2dSqVHJ6K_TYlG2zdrmhmwX/view?usp=drivesdk","Venom JumpChain.pdf")</f>
        <v>Venom JumpChain.pdf</v>
      </c>
      <c r="B427" s="12" t="str">
        <f t="shared" si="94"/>
        <v>DriveAnon's 4chan Drive/2. EVERYONE ELSE'S JUMPS/3. Series/Marvel</v>
      </c>
    </row>
    <row r="428">
      <c r="A428" s="12" t="str">
        <f>HYPERLINK("https://drive.google.com/file/d/1SdQc6YI8cXs89saZreKAMya2Kp2CA8Im/view?usp=drivesdk","Avengers Vs X-Men JumpChain.pdf")</f>
        <v>Avengers Vs X-Men JumpChain.pdf</v>
      </c>
      <c r="B428" s="12" t="str">
        <f t="shared" si="94"/>
        <v>DriveAnon's 4chan Drive/2. EVERYONE ELSE'S JUMPS/3. Series/Marvel</v>
      </c>
    </row>
    <row r="429">
      <c r="A429" s="12" t="str">
        <f>HYPERLINK("https://drive.google.com/file/d/1_1Z1ig_GeRw5rPIg_wFX_SaVEUsyThGV/view?usp=drivesdk","X-Men Evolution JumpChain.pdf")</f>
        <v>X-Men Evolution JumpChain.pdf</v>
      </c>
      <c r="B429" s="12" t="str">
        <f t="shared" si="94"/>
        <v>DriveAnon's 4chan Drive/2. EVERYONE ELSE'S JUMPS/3. Series/Marvel</v>
      </c>
    </row>
    <row r="430">
      <c r="A430" s="12" t="str">
        <f>HYPERLINK("https://drive.google.com/file/d/1hkOsLZPN87g2WNHht3FHGA2KMR_U1Uhs/view?usp=drivesdk","Ghost Rider JumpChain.pdf")</f>
        <v>Ghost Rider JumpChain.pdf</v>
      </c>
      <c r="B430" s="12" t="str">
        <f t="shared" si="94"/>
        <v>DriveAnon's 4chan Drive/2. EVERYONE ELSE'S JUMPS/3. Series/Marvel</v>
      </c>
    </row>
    <row r="431">
      <c r="A431" s="12" t="str">
        <f>HYPERLINK("https://drive.google.com/file/d/1z29Gmruu1CeRnlPTyICqeN--ozUf4r85/view?usp=drivesdk","X-Men Movies JumpChain.pdf")</f>
        <v>X-Men Movies JumpChain.pdf</v>
      </c>
      <c r="B431" s="12" t="str">
        <f t="shared" si="94"/>
        <v>DriveAnon's 4chan Drive/2. EVERYONE ELSE'S JUMPS/3. Series/Marvel</v>
      </c>
    </row>
    <row r="432">
      <c r="A432" s="12" t="str">
        <f>HYPERLINK("https://drive.google.com/file/d/101RK7l_nFLFFa7mwC-RRS0dlonxcQDRH/view?usp=drivesdk","Marvel Combo Notes.pdf")</f>
        <v>Marvel Combo Notes.pdf</v>
      </c>
      <c r="B432" s="12" t="str">
        <f t="shared" ref="B432:B433" si="95">HYPERLINK("https://drive.google.com/drive/folders/101fft_5ffW3ts-KBdWHA_C9nVlcGToDu","DriveAnon's 4chan Drive/2. EVERYONE ELSE'S JUMPS/3. Series/Marvel/Marvel Jump")</f>
        <v>DriveAnon's 4chan Drive/2. EVERYONE ELSE'S JUMPS/3. Series/Marvel/Marvel Jump</v>
      </c>
    </row>
    <row r="433">
      <c r="A433" s="12" t="str">
        <f>HYPERLINK("https://drive.google.com/file/d/1ki-POww152RRG_iptIHqu_k3y7RTbZeC/view?usp=drivesdk","Marvel Jumpchain.pdf")</f>
        <v>Marvel Jumpchain.pdf</v>
      </c>
      <c r="B433" s="12" t="str">
        <f t="shared" si="95"/>
        <v>DriveAnon's 4chan Drive/2. EVERYONE ELSE'S JUMPS/3. Series/Marvel/Marvel Jump</v>
      </c>
    </row>
    <row r="434">
      <c r="A434" s="12" t="str">
        <f>HYPERLINK("https://drive.google.com/file/d/1TmLEjrF-YXi3k-8i5kaQeOydgvoRWsap/view?usp=drivesdk","Marvel Cinematic Universe - Volume 2.pdf")</f>
        <v>Marvel Cinematic Universe - Volume 2.pdf</v>
      </c>
      <c r="B434" s="12" t="str">
        <f t="shared" ref="B434:B435" si="96">HYPERLINK("https://drive.google.com/drive/folders/11JXD5DLMJ2Qz0S11PeDJHdCx8A9KGD6p","DriveAnon's 4chan Drive/2. EVERYONE ELSE'S JUMPS/3. Series/Marvel/Marvel Cinematic Universe Jump")</f>
        <v>DriveAnon's 4chan Drive/2. EVERYONE ELSE'S JUMPS/3. Series/Marvel/Marvel Cinematic Universe Jump</v>
      </c>
    </row>
    <row r="435">
      <c r="A435" s="12" t="str">
        <f>HYPERLINK("https://drive.google.com/file/d/1BA7_3hOEP3NVOYgmhDbsGE9MkgAFfdcD/view?usp=drivesdk","Marvel Cinematic Universe - Volume 1.pdf")</f>
        <v>Marvel Cinematic Universe - Volume 1.pdf</v>
      </c>
      <c r="B435" s="12" t="str">
        <f t="shared" si="96"/>
        <v>DriveAnon's 4chan Drive/2. EVERYONE ELSE'S JUMPS/3. Series/Marvel/Marvel Cinematic Universe Jump</v>
      </c>
    </row>
    <row r="436">
      <c r="A436" s="12" t="str">
        <f>HYPERLINK("https://drive.google.com/file/d/1jYPPm_4zi6TtWuGCjRylAl3-uqyqWbcl/view?usp=drivesdk","Magi JumpChain.pdf")</f>
        <v>Magi JumpChain.pdf</v>
      </c>
      <c r="B436" s="12" t="str">
        <f t="shared" ref="B436:B438" si="97">HYPERLINK("https://drive.google.com/drive/folders/1IRcThM2bg69Cc50JAHTO16XIqacti5ZM","DriveAnon's 4chan Drive/2. EVERYONE ELSE'S JUMPS/3. Series/Magi")</f>
        <v>DriveAnon's 4chan Drive/2. EVERYONE ELSE'S JUMPS/3. Series/Magi</v>
      </c>
    </row>
    <row r="437">
      <c r="A437" s="12" t="str">
        <f>HYPERLINK("https://drive.google.com/file/d/1HmM7QswaedwQccY4uIfD2aYtWEmCJ3wd/view?usp=drivesdk","Magi The Adventure of Sinbad.pdf")</f>
        <v>Magi The Adventure of Sinbad.pdf</v>
      </c>
      <c r="B437" s="12" t="str">
        <f t="shared" si="97"/>
        <v>DriveAnon's 4chan Drive/2. EVERYONE ELSE'S JUMPS/3. Series/Magi</v>
      </c>
    </row>
    <row r="438">
      <c r="A438" s="12" t="str">
        <f>HYPERLINK("https://drive.google.com/file/d/1n-mdvXPJMlSJvtVy_nwjjaHK7lfs31YL/view?usp=drivesdk","Magi Alma Torran.pdf")</f>
        <v>Magi Alma Torran.pdf</v>
      </c>
      <c r="B438" s="12" t="str">
        <f t="shared" si="97"/>
        <v>DriveAnon's 4chan Drive/2. EVERYONE ELSE'S JUMPS/3. Series/Magi</v>
      </c>
    </row>
    <row r="439">
      <c r="A439" s="12" t="str">
        <f>HYPERLINK("https://drive.google.com/file/d/13BIwXUYtwaAsEVb5V30uX7pdaOgFNvLV/view?usp=drivesdk","Madoka Jumpchain.pdf")</f>
        <v>Madoka Jumpchain.pdf</v>
      </c>
      <c r="B439" s="12" t="str">
        <f t="shared" ref="B439:B442" si="98">HYPERLINK("https://drive.google.com/drive/folders/17JMT24NZtF-8bVbwTCcEAhagqmmcrAcF","DriveAnon's 4chan Drive/2. EVERYONE ELSE'S JUMPS/3. Series/Madoka Magica")</f>
        <v>DriveAnon's 4chan Drive/2. EVERYONE ELSE'S JUMPS/3. Series/Madoka Magica</v>
      </c>
    </row>
    <row r="440">
      <c r="A440" s="12" t="str">
        <f>HYPERLINK("https://drive.google.com/file/d/1ZQzCNKC8VczJledtYBAIGxT5tSavV_z7/view?usp=drivesdk","Puella Magi Homura Tamura JumpChain.pdf")</f>
        <v>Puella Magi Homura Tamura JumpChain.pdf</v>
      </c>
      <c r="B440" s="12" t="str">
        <f t="shared" si="98"/>
        <v>DriveAnon's 4chan Drive/2. EVERYONE ELSE'S JUMPS/3. Series/Madoka Magica</v>
      </c>
    </row>
    <row r="441">
      <c r="A441" s="12" t="str">
        <f>HYPERLINK("https://drive.google.com/file/d/1sjYf_E92oSHDbwSmT7buQczFdzCyWAci/view?usp=drivesdk","Madoka Magica - Wraith Timeline JumpChain.pdf")</f>
        <v>Madoka Magica - Wraith Timeline JumpChain.pdf</v>
      </c>
      <c r="B441" s="12" t="str">
        <f t="shared" si="98"/>
        <v>DriveAnon's 4chan Drive/2. EVERYONE ELSE'S JUMPS/3. Series/Madoka Magica</v>
      </c>
    </row>
    <row r="442">
      <c r="A442" s="12" t="str">
        <f>HYPERLINK("https://drive.google.com/file/d/1UHufJWfnlX-Wy1yRSey0SxeByoWBjLcb/view?usp=drivesdk","Magical Girl Noir JumpChain.pdf")</f>
        <v>Magical Girl Noir JumpChain.pdf</v>
      </c>
      <c r="B442" s="12" t="str">
        <f t="shared" si="98"/>
        <v>DriveAnon's 4chan Drive/2. EVERYONE ELSE'S JUMPS/3. Series/Madoka Magica</v>
      </c>
    </row>
    <row r="443">
      <c r="A443" s="12" t="str">
        <f>HYPERLINK("https://drive.google.com/file/d/1IERf_wROMM_t0cI_R0pFj2XmwImH3qm0/view?usp=drivesdk","Lost Valley of the Dinosaurs JumpChain.pdf")</f>
        <v>Lost Valley of the Dinosaurs JumpChain.pdf</v>
      </c>
      <c r="B443" s="12" t="str">
        <f t="shared" ref="B443:B444" si="99">HYPERLINK("https://drive.google.com/drive/folders/10kqYzQq0bo2wjznkTKopQJhM6AjkTGZi","DriveAnon's 4chan Drive/2. EVERYONE ELSE'S JUMPS/3. Series/Lost Valley of the Dinosaurs")</f>
        <v>DriveAnon's 4chan Drive/2. EVERYONE ELSE'S JUMPS/3. Series/Lost Valley of the Dinosaurs</v>
      </c>
    </row>
    <row r="444">
      <c r="A444" s="12" t="str">
        <f>HYPERLINK("https://drive.google.com/file/d/1MnXyjykF4f2TlEYQBj_0lDJX9ySBJwrW/view?usp=drivesdk","Lost Valley of the Dinosaurs.pdf")</f>
        <v>Lost Valley of the Dinosaurs.pdf</v>
      </c>
      <c r="B444" s="12" t="str">
        <f t="shared" si="99"/>
        <v>DriveAnon's 4chan Drive/2. EVERYONE ELSE'S JUMPS/3. Series/Lost Valley of the Dinosaurs</v>
      </c>
    </row>
    <row r="445">
      <c r="A445" s="12" t="str">
        <f>HYPERLINK("https://drive.google.com/file/d/1MhbyR72-BtbHyEr6IOArQSBTnLs85UeL/view?usp=drivesdk","The Legend of Zelda - Tri Force Heroes.pdf")</f>
        <v>The Legend of Zelda - Tri Force Heroes.pdf</v>
      </c>
      <c r="B445" s="12" t="str">
        <f t="shared" ref="B445:B472" si="100">HYPERLINK("https://drive.google.com/drive/folders/11DHXXLFVuMDaMGOTzR0-UUw9m8u6LxKG","DriveAnon's 4chan Drive/2. EVERYONE ELSE'S JUMPS/3. Series/Legend of Zelda")</f>
        <v>DriveAnon's 4chan Drive/2. EVERYONE ELSE'S JUMPS/3. Series/Legend of Zelda</v>
      </c>
    </row>
    <row r="446">
      <c r="A446" s="12" t="str">
        <f>HYPERLINK("https://drive.google.com/file/d/1k50cF0Nk6pfSIj5IAG07mI0cwPr1mK-X/view?usp=drivesdk","The Legend of Zelda - Majora’s Mask.pdf")</f>
        <v>The Legend of Zelda - Majora’s Mask.pdf</v>
      </c>
      <c r="B446" s="12" t="str">
        <f t="shared" si="100"/>
        <v>DriveAnon's 4chan Drive/2. EVERYONE ELSE'S JUMPS/3. Series/Legend of Zelda</v>
      </c>
    </row>
    <row r="447">
      <c r="A447" s="12" t="str">
        <f>HYPERLINK("https://drive.google.com/file/d/1jqVUeVDdsGyD2mwHbZmgLXC3b3dw4V3S/view?usp=drivesdk","The Legend of Zelda - Spirit Tracks.pdf")</f>
        <v>The Legend of Zelda - Spirit Tracks.pdf</v>
      </c>
      <c r="B447" s="12" t="str">
        <f t="shared" si="100"/>
        <v>DriveAnon's 4chan Drive/2. EVERYONE ELSE'S JUMPS/3. Series/Legend of Zelda</v>
      </c>
    </row>
    <row r="448">
      <c r="A448" s="12" t="str">
        <f>HYPERLINK("https://drive.google.com/file/d/1-XDbDHtpbDSdca1C15kv40MqX7AI_Pqg/view?usp=drivesdk","The Legend Of Zelda - Hyrule Warriors - Age of Calamity.pdf")</f>
        <v>The Legend Of Zelda - Hyrule Warriors - Age of Calamity.pdf</v>
      </c>
      <c r="B448" s="12" t="str">
        <f t="shared" si="100"/>
        <v>DriveAnon's 4chan Drive/2. EVERYONE ELSE'S JUMPS/3. Series/Legend of Zelda</v>
      </c>
    </row>
    <row r="449">
      <c r="A449" s="12" t="str">
        <f>HYPERLINK("https://drive.google.com/file/d/18Dd11WR29AhVWeyjEPRpcg1LbdLDMd0X/view?usp=drivesdk","The Legend Of Zelda - Oracle of Seasons.pdf")</f>
        <v>The Legend Of Zelda - Oracle of Seasons.pdf</v>
      </c>
      <c r="B449" s="12" t="str">
        <f t="shared" si="100"/>
        <v>DriveAnon's 4chan Drive/2. EVERYONE ELSE'S JUMPS/3. Series/Legend of Zelda</v>
      </c>
    </row>
    <row r="450">
      <c r="A450" s="12" t="str">
        <f>HYPERLINK("https://drive.google.com/file/d/1C1YCI_EP7XBbHgwgqjD0azHY2b1XHXyz/view?usp=drivesdk","The Legend Of Zelda - Oracle of Ages.pdf")</f>
        <v>The Legend Of Zelda - Oracle of Ages.pdf</v>
      </c>
      <c r="B450" s="12" t="str">
        <f t="shared" si="100"/>
        <v>DriveAnon's 4chan Drive/2. EVERYONE ELSE'S JUMPS/3. Series/Legend of Zelda</v>
      </c>
    </row>
    <row r="451">
      <c r="A451" s="12" t="str">
        <f>HYPERLINK("https://drive.google.com/file/d/19uExxgux3GB0uDxAEJGkjiK2HCMh0jDC/view?usp=drivesdk","The Legend of Zelda - The Wind Waker.pdf")</f>
        <v>The Legend of Zelda - The Wind Waker.pdf</v>
      </c>
      <c r="B451" s="12" t="str">
        <f t="shared" si="100"/>
        <v>DriveAnon's 4chan Drive/2. EVERYONE ELSE'S JUMPS/3. Series/Legend of Zelda</v>
      </c>
    </row>
    <row r="452">
      <c r="A452" s="12" t="str">
        <f>HYPERLINK("https://drive.google.com/file/d/1rAbsUycCJdsUe8ljsuD5hcGP-APCUElq/view?usp=drivesdk","The Legend Of Zelda - Oracle of Scenario.pdf")</f>
        <v>The Legend Of Zelda - Oracle of Scenario.pdf</v>
      </c>
      <c r="B452" s="12" t="str">
        <f t="shared" si="100"/>
        <v>DriveAnon's 4chan Drive/2. EVERYONE ELSE'S JUMPS/3. Series/Legend of Zelda</v>
      </c>
    </row>
    <row r="453">
      <c r="A453" s="12" t="str">
        <f>HYPERLINK("https://drive.google.com/file/d/1HNrfE5pcX2HMMhMjpCuZV_vLCoaLo0gk/view?usp=drivesdk","The Legend Of Zelda - Philips CDi.pdf")</f>
        <v>The Legend Of Zelda - Philips CDi.pdf</v>
      </c>
      <c r="B453" s="12" t="str">
        <f t="shared" si="100"/>
        <v>DriveAnon's 4chan Drive/2. EVERYONE ELSE'S JUMPS/3. Series/Legend of Zelda</v>
      </c>
    </row>
    <row r="454">
      <c r="A454" s="12" t="str">
        <f>HYPERLINK("https://drive.google.com/file/d/1wpgindKmoRqQ7V6AUzpmxmCdBq_AQe9z/view?usp=drivesdk","The Legend of Zelda - Phantom Hourglass.pdf")</f>
        <v>The Legend of Zelda - Phantom Hourglass.pdf</v>
      </c>
      <c r="B454" s="12" t="str">
        <f t="shared" si="100"/>
        <v>DriveAnon's 4chan Drive/2. EVERYONE ELSE'S JUMPS/3. Series/Legend of Zelda</v>
      </c>
    </row>
    <row r="455">
      <c r="A455" s="12" t="str">
        <f>HYPERLINK("https://drive.google.com/file/d/1u-683KhW2kQ87LR90mIsw8m7-nznRw0u/view?usp=drivesdk","The Legend of Zelda - Skyward Sword.pdf")</f>
        <v>The Legend of Zelda - Skyward Sword.pdf</v>
      </c>
      <c r="B455" s="12" t="str">
        <f t="shared" si="100"/>
        <v>DriveAnon's 4chan Drive/2. EVERYONE ELSE'S JUMPS/3. Series/Legend of Zelda</v>
      </c>
    </row>
    <row r="456">
      <c r="A456" s="12" t="str">
        <f>HYPERLINK("https://drive.google.com/file/d/134v37vlp1wdyORQoSasysFrSxrCPQg00/view?usp=drivesdk","The Legend of Zelda - Twilight Princess.pdf")</f>
        <v>The Legend of Zelda - Twilight Princess.pdf</v>
      </c>
      <c r="B456" s="12" t="str">
        <f t="shared" si="100"/>
        <v>DriveAnon's 4chan Drive/2. EVERYONE ELSE'S JUMPS/3. Series/Legend of Zelda</v>
      </c>
    </row>
    <row r="457">
      <c r="A457" s="12" t="str">
        <f>HYPERLINK("https://drive.google.com/file/d/14ZUC6kUrw6J9GADA3WM1D2eEqTRrUz_W/view?usp=drivesdk","The Legend of Zelda - Link’s Awakening JumpChain.pdf")</f>
        <v>The Legend of Zelda - Link’s Awakening JumpChain.pdf</v>
      </c>
      <c r="B457" s="12" t="str">
        <f t="shared" si="100"/>
        <v>DriveAnon's 4chan Drive/2. EVERYONE ELSE'S JUMPS/3. Series/Legend of Zelda</v>
      </c>
    </row>
    <row r="458">
      <c r="A458" s="12" t="str">
        <f>HYPERLINK("https://drive.google.com/file/d/1DNGXSlwdlJ9AKZXL_fObvjL2aKuzvsJ5/view?usp=drivesdk","The Legend of Zelda 1-2 The Adventure of Link JumpChain.pdf")</f>
        <v>The Legend of Zelda 1-2 The Adventure of Link JumpChain.pdf</v>
      </c>
      <c r="B458" s="12" t="str">
        <f t="shared" si="100"/>
        <v>DriveAnon's 4chan Drive/2. EVERYONE ELSE'S JUMPS/3. Series/Legend of Zelda</v>
      </c>
    </row>
    <row r="459">
      <c r="A459" s="12" t="str">
        <f>HYPERLINK("https://drive.google.com/file/d/1HjrsFVrz4EDmiSJfgNSSJOSLKjvtuY6E/view?usp=drivesdk","The Legend of Zelda - Ocarina of Time JumpChain.pdf")</f>
        <v>The Legend of Zelda - Ocarina of Time JumpChain.pdf</v>
      </c>
      <c r="B459" s="12" t="str">
        <f t="shared" si="100"/>
        <v>DriveAnon's 4chan Drive/2. EVERYONE ELSE'S JUMPS/3. Series/Legend of Zelda</v>
      </c>
    </row>
    <row r="460">
      <c r="A460" s="12" t="str">
        <f>HYPERLINK("https://drive.google.com/file/d/1Klgx0hdRAOJUSodD1_eT8WLRtcFAXU_Q/view?usp=drivesdk","THE LEGEND OF ZELDA - BREATH OF THE WILD JumpChain.pdf")</f>
        <v>THE LEGEND OF ZELDA - BREATH OF THE WILD JumpChain.pdf</v>
      </c>
      <c r="B460" s="12" t="str">
        <f t="shared" si="100"/>
        <v>DriveAnon's 4chan Drive/2. EVERYONE ELSE'S JUMPS/3. Series/Legend of Zelda</v>
      </c>
    </row>
    <row r="461">
      <c r="A461" s="12" t="str">
        <f>HYPERLINK("https://drive.google.com/file/d/1MSEIt3CNS4IQCgGpf8EGmgRigtPdQFDn/view?usp=drivesdk","The Legend of Zelda JumpChain.pdf")</f>
        <v>The Legend of Zelda JumpChain.pdf</v>
      </c>
      <c r="B461" s="12" t="str">
        <f t="shared" si="100"/>
        <v>DriveAnon's 4chan Drive/2. EVERYONE ELSE'S JUMPS/3. Series/Legend of Zelda</v>
      </c>
    </row>
    <row r="462">
      <c r="A462" s="12" t="str">
        <f>HYPERLINK("https://drive.google.com/file/d/1Uy2vxRS90TRYhhfyHopKgW9JoSYKiHIM/view?usp=drivesdk","The Legend of Zelda 1 Gauntlet.pdf")</f>
        <v>The Legend of Zelda 1 Gauntlet.pdf</v>
      </c>
      <c r="B462" s="12" t="str">
        <f t="shared" si="100"/>
        <v>DriveAnon's 4chan Drive/2. EVERYONE ELSE'S JUMPS/3. Series/Legend of Zelda</v>
      </c>
    </row>
    <row r="463">
      <c r="A463" s="12" t="str">
        <f>HYPERLINK("https://drive.google.com/file/d/1a6SfTa4TO6F1HoVCzKyJR-NxN9qGSFbK/view?usp=drivesdk","The Legend of Zelda - A Link Between Worlds JumpChain.pdf")</f>
        <v>The Legend of Zelda - A Link Between Worlds JumpChain.pdf</v>
      </c>
      <c r="B463" s="12" t="str">
        <f t="shared" si="100"/>
        <v>DriveAnon's 4chan Drive/2. EVERYONE ELSE'S JUMPS/3. Series/Legend of Zelda</v>
      </c>
    </row>
    <row r="464">
      <c r="A464" s="12" t="str">
        <f>HYPERLINK("https://drive.google.com/file/d/1jey7vNH_1OS9O3MxC82Qzjvu4HK6FLAx/view?usp=drivesdk","The Legend of Zelda - A Link To The Past.pdf")</f>
        <v>The Legend of Zelda - A Link To The Past.pdf</v>
      </c>
      <c r="B464" s="12" t="str">
        <f t="shared" si="100"/>
        <v>DriveAnon's 4chan Drive/2. EVERYONE ELSE'S JUMPS/3. Series/Legend of Zelda</v>
      </c>
    </row>
    <row r="465">
      <c r="A465" s="12" t="str">
        <f>HYPERLINK("https://drive.google.com/file/d/1uuXkpeCFzgDt3Arlz7X7YlVPS0uW0rh5/view?usp=drivesdk","The Legend of Zelda - The Minish Cap JumpChain.pdf")</f>
        <v>The Legend of Zelda - The Minish Cap JumpChain.pdf</v>
      </c>
      <c r="B465" s="12" t="str">
        <f t="shared" si="100"/>
        <v>DriveAnon's 4chan Drive/2. EVERYONE ELSE'S JUMPS/3. Series/Legend of Zelda</v>
      </c>
    </row>
    <row r="466">
      <c r="A466" s="12" t="str">
        <f>HYPERLINK("https://drive.google.com/file/d/1C94XZw_6tMtuzC6MbUiQyHssFjPuW5pz/view?usp=drivesdk","The Legend of Zelda - Hyrule Warriors.pdf")</f>
        <v>The Legend of Zelda - Hyrule Warriors.pdf</v>
      </c>
      <c r="B466" s="12" t="str">
        <f t="shared" si="100"/>
        <v>DriveAnon's 4chan Drive/2. EVERYONE ELSE'S JUMPS/3. Series/Legend of Zelda</v>
      </c>
    </row>
    <row r="467">
      <c r="A467" s="12" t="str">
        <f>HYPERLINK("https://drive.google.com/file/d/1CzXQcLBvZkp8Pk5AIueRxA_2ycufstei/view?usp=drivesdk","The Legend of Zelda - Four Swords Adventure.pdf")</f>
        <v>The Legend of Zelda - Four Swords Adventure.pdf</v>
      </c>
      <c r="B467" s="12" t="str">
        <f t="shared" si="100"/>
        <v>DriveAnon's 4chan Drive/2. EVERYONE ELSE'S JUMPS/3. Series/Legend of Zelda</v>
      </c>
    </row>
    <row r="468">
      <c r="A468" s="12" t="str">
        <f>HYPERLINK("https://drive.google.com/file/d/1XznCLmmJXN0sdDUe5rgnsJ3F0j_bMmH_/view?usp=drivesdk","The Legend Of Zelda - Ancient Stone Tablets.pdf")</f>
        <v>The Legend Of Zelda - Ancient Stone Tablets.pdf</v>
      </c>
      <c r="B468" s="12" t="str">
        <f t="shared" si="100"/>
        <v>DriveAnon's 4chan Drive/2. EVERYONE ELSE'S JUMPS/3. Series/Legend of Zelda</v>
      </c>
    </row>
    <row r="469">
      <c r="A469" s="12" t="str">
        <f>HYPERLINK("https://drive.google.com/file/d/1t4h8zbPLMZnQpK264OkPKysR3__c01d1/view?usp=drivesdk","The Legend of Zelda - Four Swords.pdf")</f>
        <v>The Legend of Zelda - Four Swords.pdf</v>
      </c>
      <c r="B469" s="12" t="str">
        <f t="shared" si="100"/>
        <v>DriveAnon's 4chan Drive/2. EVERYONE ELSE'S JUMPS/3. Series/Legend of Zelda</v>
      </c>
    </row>
    <row r="470">
      <c r="A470" s="12" t="str">
        <f>HYPERLINK("https://drive.google.com/file/d/17wJohxwgXhl3vYYBmeG0ouBPkJn6Vupu/view?usp=drivesdk","The Legend Of Zelda - Fistful of Rupees.pdf")</f>
        <v>The Legend Of Zelda - Fistful of Rupees.pdf</v>
      </c>
      <c r="B470" s="12" t="str">
        <f t="shared" si="100"/>
        <v>DriveAnon's 4chan Drive/2. EVERYONE ELSE'S JUMPS/3. Series/Legend of Zelda</v>
      </c>
    </row>
    <row r="471">
      <c r="A471" s="12" t="str">
        <f>HYPERLINK("https://drive.google.com/file/d/1SkNC2ZhZQiWrHeZqVM4Nvm6cHBoFbJA6/view?usp=drivesdk","The Legend of Zelda - Golden Era.pdf")</f>
        <v>The Legend of Zelda - Golden Era.pdf</v>
      </c>
      <c r="B471" s="12" t="str">
        <f t="shared" si="100"/>
        <v>DriveAnon's 4chan Drive/2. EVERYONE ELSE'S JUMPS/3. Series/Legend of Zelda</v>
      </c>
    </row>
    <row r="472">
      <c r="A472" s="12" t="str">
        <f>HYPERLINK("https://drive.google.com/file/d/11V8FWze-RE6GNXpmcIlUQuRO14vCS5Q6/view?usp=drivesdk","The Legend of Neil 1.0.pdf")</f>
        <v>The Legend of Neil 1.0.pdf</v>
      </c>
      <c r="B472" s="12" t="str">
        <f t="shared" si="100"/>
        <v>DriveAnon's 4chan Drive/2. EVERYONE ELSE'S JUMPS/3. Series/Legend of Zelda</v>
      </c>
    </row>
    <row r="473">
      <c r="A473" s="12" t="str">
        <f>HYPERLINK("https://drive.google.com/file/d/1L1yT2DA-qk8CqwWN4uh0YK4w5ON1WASw/view?usp=drivesdk","Lovecraft Jump Smaller.pdf")</f>
        <v>Lovecraft Jump Smaller.pdf</v>
      </c>
      <c r="B473" s="12" t="str">
        <f t="shared" ref="B473:B474" si="101">HYPERLINK("https://drive.google.com/drive/folders/1CtjloXJkUdnUE-GzE3MPJj8F5l2iI7zK","DriveAnon's 4chan Drive/2. EVERYONE ELSE'S JUMPS/3. Series/Lovecraft")</f>
        <v>DriveAnon's 4chan Drive/2. EVERYONE ELSE'S JUMPS/3. Series/Lovecraft</v>
      </c>
    </row>
    <row r="474">
      <c r="A474" s="12" t="str">
        <f>HYPERLINK("https://drive.google.com/file/d/1l4sp4cGz19u1lUOGJEkmwK43outZZwir/view?usp=drivesdk","Lovecraft Jump Full Size.pdf")</f>
        <v>Lovecraft Jump Full Size.pdf</v>
      </c>
      <c r="B474" s="12" t="str">
        <f t="shared" si="101"/>
        <v>DriveAnon's 4chan Drive/2. EVERYONE ELSE'S JUMPS/3. Series/Lovecraft</v>
      </c>
    </row>
    <row r="475">
      <c r="A475" s="12" t="str">
        <f>HYPERLINK("https://drive.google.com/file/d/1ZAZJ1mRKiptHZlEMg0UFkOUQhw5Bf-gu/view?usp=drivesdk","LoS supplement JumpChain.pdf")</f>
        <v>LoS supplement JumpChain.pdf</v>
      </c>
      <c r="B475" s="12" t="str">
        <f t="shared" ref="B475:B476" si="102">HYPERLINK("https://drive.google.com/drive/folders/1LisqPCWyPtAmHhTDO9iMDRIBR_9e8cOp","DriveAnon's 4chan Drive/2. EVERYONE ELSE'S JUMPS/3. Series/Legend of Spyro")</f>
        <v>DriveAnon's 4chan Drive/2. EVERYONE ELSE'S JUMPS/3. Series/Legend of Spyro</v>
      </c>
    </row>
    <row r="476">
      <c r="A476" s="12" t="str">
        <f>HYPERLINK("https://drive.google.com/file/d/1bPGodBGE19tYLMUCmuj2yBFLsfWgkkY7/view?usp=drivesdk","LoS JumpChain.pdf")</f>
        <v>LoS JumpChain.pdf</v>
      </c>
      <c r="B476" s="12" t="str">
        <f t="shared" si="102"/>
        <v>DriveAnon's 4chan Drive/2. EVERYONE ELSE'S JUMPS/3. Series/Legend of Spyro</v>
      </c>
    </row>
    <row r="477">
      <c r="A477" s="12" t="str">
        <f>HYPERLINK("https://drive.google.com/file/d/1KX-2AskO1GRkfi1a04B84Ro8MfpBtmj0/view?usp=drivesdk","League of Legends champion costs.pdf")</f>
        <v>League of Legends champion costs.pdf</v>
      </c>
      <c r="B477" s="12" t="str">
        <f t="shared" ref="B477:B479" si="103">HYPERLINK("https://drive.google.com/drive/folders/1bWB87cqdLxhHANqbepb-3Ap0kJbrBzLf","DriveAnon's 4chan Drive/2. EVERYONE ELSE'S JUMPS/3. Series/League of Legends")</f>
        <v>DriveAnon's 4chan Drive/2. EVERYONE ELSE'S JUMPS/3. Series/League of Legends</v>
      </c>
    </row>
    <row r="478">
      <c r="A478" s="12" t="str">
        <f>HYPERLINK("https://drive.google.com/file/d/1cfU_BgOCD_4Lo6rtkAH_di4g43rmOHS3/view?usp=drivesdk","League of Legends Skin Supplement.pdf")</f>
        <v>League of Legends Skin Supplement.pdf</v>
      </c>
      <c r="B478" s="12" t="str">
        <f t="shared" si="103"/>
        <v>DriveAnon's 4chan Drive/2. EVERYONE ELSE'S JUMPS/3. Series/League of Legends</v>
      </c>
    </row>
    <row r="479">
      <c r="A479" s="12" t="str">
        <f>HYPERLINK("https://drive.google.com/file/d/1moLyJkrnS7MR0xYXpdNPrmHWuuT_Xw3M/view?usp=drivesdk","League of Legends JumpChain.pdf")</f>
        <v>League of Legends JumpChain.pdf</v>
      </c>
      <c r="B479" s="12" t="str">
        <f t="shared" si="103"/>
        <v>DriveAnon's 4chan Drive/2. EVERYONE ELSE'S JUMPS/3. Series/League of Legends</v>
      </c>
    </row>
    <row r="480">
      <c r="A480" s="12" t="str">
        <f>HYPERLINK("https://drive.google.com/file/d/1IgpUa_2sUXI4vkWU1huEHXGIP1zNfhGl/view?usp=drivesdk","King Arthur Jumpchain.pdf")</f>
        <v>King Arthur Jumpchain.pdf</v>
      </c>
      <c r="B480" s="12" t="str">
        <f t="shared" ref="B480:B481" si="104">HYPERLINK("https://drive.google.com/drive/folders/1eAgS7iUgz7zEXhU9Lklje7qYnnIIh4tT","DriveAnon's 4chan Drive/2. EVERYONE ELSE'S JUMPS/3. Series/King Arthur JumpChain")</f>
        <v>DriveAnon's 4chan Drive/2. EVERYONE ELSE'S JUMPS/3. Series/King Arthur JumpChain</v>
      </c>
    </row>
    <row r="481">
      <c r="A481" s="12" t="str">
        <f>HYPERLINK("https://drive.google.com/file/d/1rmqtoxEhpNfsqHRVUE3wIoxKIk0-GN1z/view?usp=drivesdk","King Arthur Supplement.pdf")</f>
        <v>King Arthur Supplement.pdf</v>
      </c>
      <c r="B481" s="12" t="str">
        <f t="shared" si="104"/>
        <v>DriveAnon's 4chan Drive/2. EVERYONE ELSE'S JUMPS/3. Series/King Arthur JumpChain</v>
      </c>
    </row>
    <row r="482">
      <c r="A482" s="12" t="str">
        <f>HYPERLINK("https://drive.google.com/file/d/1KN4RIRXZ9XDsqbgWnNeE9zLhlQSpSnyE/view?usp=drivesdk","Kingdom Hearts χ Series.pdf")</f>
        <v>Kingdom Hearts χ Series.pdf</v>
      </c>
      <c r="B482" s="12" t="str">
        <f t="shared" ref="B482:B486" si="105">HYPERLINK("https://drive.google.com/drive/folders/1pFYdnsuWgsJD4fopidTZHrZ1xVwFYD5w","DriveAnon's 4chan Drive/2. EVERYONE ELSE'S JUMPS/3. Series/Kingdom Hearts")</f>
        <v>DriveAnon's 4chan Drive/2. EVERYONE ELSE'S JUMPS/3. Series/Kingdom Hearts</v>
      </c>
    </row>
    <row r="483">
      <c r="A483" s="12" t="str">
        <f>HYPERLINK("https://drive.google.com/file/d/1dIp2vwHEZz_mTNC1PlstZWSZeyrRuUhI/view?usp=drivesdk","Kingdom Hearts - Jumpchain of Memories.pdf")</f>
        <v>Kingdom Hearts - Jumpchain of Memories.pdf</v>
      </c>
      <c r="B483" s="12" t="str">
        <f t="shared" si="105"/>
        <v>DriveAnon's 4chan Drive/2. EVERYONE ELSE'S JUMPS/3. Series/Kingdom Hearts</v>
      </c>
    </row>
    <row r="484">
      <c r="A484" s="12" t="str">
        <f>HYPERLINK("https://drive.google.com/file/d/1Sh9JUYSbZ9n3St_iGXNw8c2wenpW3Jqq/view?usp=drivesdk","Kingdom Hearts Birth By Sleep JumpChain.pdf")</f>
        <v>Kingdom Hearts Birth By Sleep JumpChain.pdf</v>
      </c>
      <c r="B484" s="12" t="str">
        <f t="shared" si="105"/>
        <v>DriveAnon's 4chan Drive/2. EVERYONE ELSE'S JUMPS/3. Series/Kingdom Hearts</v>
      </c>
    </row>
    <row r="485">
      <c r="A485" s="12" t="str">
        <f>HYPERLINK("https://drive.google.com/file/d/1mZ-a8nyQmP-ddygM-sy2hopi7JIh3VO2/view?usp=drivesdk","Kingdom Hearts JumpChain.pdf")</f>
        <v>Kingdom Hearts JumpChain.pdf</v>
      </c>
      <c r="B485" s="12" t="str">
        <f t="shared" si="105"/>
        <v>DriveAnon's 4chan Drive/2. EVERYONE ELSE'S JUMPS/3. Series/Kingdom Hearts</v>
      </c>
    </row>
    <row r="486">
      <c r="A486" s="12" t="str">
        <f>HYPERLINK("https://drive.google.com/file/d/1zX9wCrIFr-M-Z8JTC8lxnaAwPidnVI2B/view?usp=drivesdk","Kingdom Hearts Supplements.pdf")</f>
        <v>Kingdom Hearts Supplements.pdf</v>
      </c>
      <c r="B486" s="12" t="str">
        <f t="shared" si="105"/>
        <v>DriveAnon's 4chan Drive/2. EVERYONE ELSE'S JUMPS/3. Series/Kingdom Hearts</v>
      </c>
    </row>
    <row r="487">
      <c r="A487" s="12" t="str">
        <f>HYPERLINK("https://drive.google.com/file/d/18ZT69wqm3TkYwbBB55a7Ih-hHZW1occn/view?usp=drivesdk","Shadow of Mordor JumpChain.pdf")</f>
        <v>Shadow of Mordor JumpChain.pdf</v>
      </c>
      <c r="B487" s="12" t="str">
        <f t="shared" ref="B487:B490" si="106">HYPERLINK("https://drive.google.com/drive/folders/1soMugKgiTmY2CIyHhF1eYbcWewbhHu_j","DriveAnon's 4chan Drive/2. EVERYONE ELSE'S JUMPS/3. Series/Lord of the Rings")</f>
        <v>DriveAnon's 4chan Drive/2. EVERYONE ELSE'S JUMPS/3. Series/Lord of the Rings</v>
      </c>
    </row>
    <row r="488">
      <c r="A488" s="12" t="str">
        <f>HYPERLINK("https://drive.google.com/file/d/1CZEVstHgnstK7yMYqPKm6yrimipzdQI5/view?usp=drivesdk","LOTR JumpChain.pdf")</f>
        <v>LOTR JumpChain.pdf</v>
      </c>
      <c r="B488" s="12" t="str">
        <f t="shared" si="106"/>
        <v>DriveAnon's 4chan Drive/2. EVERYONE ELSE'S JUMPS/3. Series/Lord of the Rings</v>
      </c>
    </row>
    <row r="489">
      <c r="A489" s="12" t="str">
        <f>HYPERLINK("https://drive.google.com/file/d/1MIkDTht42zLBxrdMdB4-yzPgiL9bjLqU/view?usp=drivesdk","Silmarillion JumpChain.pdf")</f>
        <v>Silmarillion JumpChain.pdf</v>
      </c>
      <c r="B489" s="12" t="str">
        <f t="shared" si="106"/>
        <v>DriveAnon's 4chan Drive/2. EVERYONE ELSE'S JUMPS/3. Series/Lord of the Rings</v>
      </c>
    </row>
    <row r="490">
      <c r="A490" s="12" t="str">
        <f>HYPERLINK("https://drive.google.com/file/d/1Yll2QZdOyqzVhrJVqjNjUamhqkYahwLS/view?usp=drivesdk","The Hobbit JumpChain.pdf")</f>
        <v>The Hobbit JumpChain.pdf</v>
      </c>
      <c r="B490" s="12" t="str">
        <f t="shared" si="106"/>
        <v>DriveAnon's 4chan Drive/2. EVERYONE ELSE'S JUMPS/3. Series/Lord of the Rings</v>
      </c>
    </row>
    <row r="491">
      <c r="A491" s="12" t="str">
        <f>HYPERLINK("https://drive.google.com/file/d/18GJfxpmmDklTdAt9KbVxWCvJZ39PjHa3/view?usp=drivesdk","Heroes of Might and Magic (I-IV) Jumpchain.pdf")</f>
        <v>Heroes of Might and Magic (I-IV) Jumpchain.pdf</v>
      </c>
      <c r="B491" s="12" t="str">
        <f t="shared" ref="B491:B492" si="107">HYPERLINK("https://drive.google.com/drive/folders/13-9GCmBv40Nr4kTtLcbxXXUefOdp1U7h","DriveAnon's 4chan Drive/2. EVERYONE ELSE'S JUMPS/3. Series/Heroes of Might and Magic")</f>
        <v>DriveAnon's 4chan Drive/2. EVERYONE ELSE'S JUMPS/3. Series/Heroes of Might and Magic</v>
      </c>
    </row>
    <row r="492">
      <c r="A492" s="12" t="str">
        <f>HYPERLINK("https://drive.google.com/file/d/1AfAJB-yMZqxlv8SJ5LrwtYSyi55o6PAh/view?usp=drivesdk","Heroes of Might and Magic (I-IV) Jumpchain - Unit Supplement.pdf")</f>
        <v>Heroes of Might and Magic (I-IV) Jumpchain - Unit Supplement.pdf</v>
      </c>
      <c r="B492" s="12" t="str">
        <f t="shared" si="107"/>
        <v>DriveAnon's 4chan Drive/2. EVERYONE ELSE'S JUMPS/3. Series/Heroes of Might and Magic</v>
      </c>
    </row>
    <row r="493">
      <c r="A493" s="12" t="str">
        <f>HYPERLINK("https://drive.google.com/file/d/1PBLwxy94ZzyK99OHOCBX_7JP2vgULRYa/view?usp=drivesdk","Jojo's Bizarre Adventure, Part 2 - Battle Tendency.pdf")</f>
        <v>Jojo's Bizarre Adventure, Part 2 - Battle Tendency.pdf</v>
      </c>
      <c r="B493" s="12" t="str">
        <f t="shared" ref="B493:B495" si="108">HYPERLINK("https://drive.google.com/drive/folders/1LA_dykF-ljPTIJ5UYf6HWJYLWRuX0FNu","DriveAnon's 4chan Drive/2. EVERYONE ELSE'S JUMPS/3. Series/Jo Jo")</f>
        <v>DriveAnon's 4chan Drive/2. EVERYONE ELSE'S JUMPS/3. Series/Jo Jo</v>
      </c>
    </row>
    <row r="494">
      <c r="A494" s="12" t="str">
        <f>HYPERLINK("https://drive.google.com/file/d/14z0NgI67YUQ-CdfRfS3aTZlnLCR8mY5W/view?usp=drivesdk","Jorge Joestar JumpChain.pdf")</f>
        <v>Jorge Joestar JumpChain.pdf</v>
      </c>
      <c r="B494" s="12" t="str">
        <f t="shared" si="108"/>
        <v>DriveAnon's 4chan Drive/2. EVERYONE ELSE'S JUMPS/3. Series/Jo Jo</v>
      </c>
    </row>
    <row r="495">
      <c r="A495" s="12" t="str">
        <f>HYPERLINK("https://drive.google.com/file/d/1L9hOa0UMkIdyQS3S-4TK5BJo5FDxGZwy/view?usp=drivesdk","JoJo_JumpChain_FINAL.pdf")</f>
        <v>JoJo_JumpChain_FINAL.pdf</v>
      </c>
      <c r="B495" s="12" t="str">
        <f t="shared" si="108"/>
        <v>DriveAnon's 4chan Drive/2. EVERYONE ELSE'S JUMPS/3. Series/Jo Jo</v>
      </c>
    </row>
    <row r="496">
      <c r="A496" s="12" t="str">
        <f>HYPERLINK("https://drive.google.com/file/d/1ZmGhhKLMbns-t8J3kOdAeO6KdrFAaSNv/view?usp=drivesdk","Pajama Sam JumpChain.pdf")</f>
        <v>Pajama Sam JumpChain.pdf</v>
      </c>
      <c r="B496" s="12" t="str">
        <f t="shared" ref="B496:B497" si="109">HYPERLINK("https://drive.google.com/drive/folders/1Yk914uGd94DLC6bOkKqFKP6WKZy9ntZD","DriveAnon's 4chan Drive/2. EVERYONE ELSE'S JUMPS/3. Series/Humongous Entertainment")</f>
        <v>DriveAnon's 4chan Drive/2. EVERYONE ELSE'S JUMPS/3. Series/Humongous Entertainment</v>
      </c>
    </row>
    <row r="497">
      <c r="A497" s="12" t="str">
        <f>HYPERLINK("https://drive.google.com/file/d/1c-iV7N-8NaxFRIS29miYlyxQjyWz8KzA/view?usp=drivesdk","Spy Fox JumpChain.pdf")</f>
        <v>Spy Fox JumpChain.pdf</v>
      </c>
      <c r="B497" s="12" t="str">
        <f t="shared" si="109"/>
        <v>DriveAnon's 4chan Drive/2. EVERYONE ELSE'S JUMPS/3. Series/Humongous Entertainment</v>
      </c>
    </row>
    <row r="498">
      <c r="A498" s="12" t="str">
        <f>HYPERLINK("https://drive.google.com/file/d/1DzT6W4leG6pcf7Hcpe8FQbSCnZyEjqBk/view?usp=drivesdk","Hollow Knight JumpChain.pdf")</f>
        <v>Hollow Knight JumpChain.pdf</v>
      </c>
      <c r="B498" s="12" t="str">
        <f t="shared" ref="B498:B499" si="110">HYPERLINK("https://drive.google.com/drive/folders/1eCm9KsQ6nn_rFjh86wQ3lUIwsLIP3tg6","DriveAnon's 4chan Drive/2. EVERYONE ELSE'S JUMPS/3. Series/Hollow Knight")</f>
        <v>DriveAnon's 4chan Drive/2. EVERYONE ELSE'S JUMPS/3. Series/Hollow Knight</v>
      </c>
    </row>
    <row r="499">
      <c r="A499" s="12" t="str">
        <f>HYPERLINK("https://drive.google.com/file/d/1meMuiLtpN2PjyLuOGUfJfk_nmo3ZRsqd/view?usp=drivesdk","Hollow Knight voidheart jump 1.01.pdf")</f>
        <v>Hollow Knight voidheart jump 1.01.pdf</v>
      </c>
      <c r="B499" s="12" t="str">
        <f t="shared" si="110"/>
        <v>DriveAnon's 4chan Drive/2. EVERYONE ELSE'S JUMPS/3. Series/Hollow Knight</v>
      </c>
    </row>
    <row r="500">
      <c r="A500" s="12" t="str">
        <f>HYPERLINK("https://drive.google.com/file/d/14ciwD6fE-qHDwPg4gpXwrpB3VIlTmVu0/view?usp=drivesdk","How To Train Your Dragon (Novel) JumpChain.pdf")</f>
        <v>How To Train Your Dragon (Novel) JumpChain.pdf</v>
      </c>
      <c r="B500" s="12" t="str">
        <f t="shared" ref="B500:B502" si="111">HYPERLINK("https://drive.google.com/drive/folders/1mGHZddVERzSMg1rTl0kUcQxcT9UAj26x","DriveAnon's 4chan Drive/2. EVERYONE ELSE'S JUMPS/3. Series/How to Train Your Dragon")</f>
        <v>DriveAnon's 4chan Drive/2. EVERYONE ELSE'S JUMPS/3. Series/How to Train Your Dragon</v>
      </c>
    </row>
    <row r="501">
      <c r="A501" s="12" t="str">
        <f>HYPERLINK("https://drive.google.com/file/d/1AnsRXI6HxtDj4Rhxmf3pAvJFwVjR9PLw/view?usp=drivesdk","How To Build Your Dragon.pdf")</f>
        <v>How To Build Your Dragon.pdf</v>
      </c>
      <c r="B501" s="12" t="str">
        <f t="shared" si="111"/>
        <v>DriveAnon's 4chan Drive/2. EVERYONE ELSE'S JUMPS/3. Series/How to Train Your Dragon</v>
      </c>
    </row>
    <row r="502">
      <c r="A502" s="12" t="str">
        <f>HYPERLINK("https://drive.google.com/file/d/1GmW7EOGtnogBGhgxFIRzXfKEbovabGRC/view?usp=drivesdk","How to Train Your Dragon( Dreamworks) JumpChain.pdf")</f>
        <v>How to Train Your Dragon( Dreamworks) JumpChain.pdf</v>
      </c>
      <c r="B502" s="12" t="str">
        <f t="shared" si="111"/>
        <v>DriveAnon's 4chan Drive/2. EVERYONE ELSE'S JUMPS/3. Series/How to Train Your Dragon</v>
      </c>
    </row>
    <row r="503">
      <c r="A503" s="12" t="str">
        <f>HYPERLINK("https://drive.google.com/file/d/1YaWpulh8OclIQ81kFn4iArdfqHNaLI9L/view?usp=drivesdk","Kamen Rider Build JumpChain.pdf")</f>
        <v>Kamen Rider Build JumpChain.pdf</v>
      </c>
      <c r="B503" s="12" t="str">
        <f>HYPERLINK("https://drive.google.com/drive/folders/1GHVuQJ8pQX57bUZmywEGc9u-J9jRDeed","DriveAnon's 4chan Drive/2. EVERYONE ELSE'S JUMPS/3. Series/Kamen Rider")</f>
        <v>DriveAnon's 4chan Drive/2. EVERYONE ELSE'S JUMPS/3. Series/Kamen Rider</v>
      </c>
    </row>
    <row r="504">
      <c r="A504" s="12" t="str">
        <f>HYPERLINK("https://drive.google.com/file/d/14JbIqXnoQojJsg0UDQflgWmDmg3oXUX5/view?usp=drivesdk","Kamen Rider Heisei Part 4 - Blade JumpChain.pdf")</f>
        <v>Kamen Rider Heisei Part 4 - Blade JumpChain.pdf</v>
      </c>
      <c r="B504" s="12" t="str">
        <f t="shared" ref="B504:B509" si="112">HYPERLINK("https://drive.google.com/drive/folders/1I0q9cXFvW2rmyIsHhKHiKXJVMO_4quE4","DriveAnon's 4chan Drive/2. EVERYONE ELSE'S JUMPS/3. Series/Kamen Rider/Kamen Rider Heisei")</f>
        <v>DriveAnon's 4chan Drive/2. EVERYONE ELSE'S JUMPS/3. Series/Kamen Rider/Kamen Rider Heisei</v>
      </c>
    </row>
    <row r="505">
      <c r="A505" s="12" t="str">
        <f>HYPERLINK("https://drive.google.com/file/d/1B_0v3kHTiJSQqWXbqu9NoCKqgCcGbNn7/view?usp=drivesdk","Kamen Rider Heisei Part 2 - Ryuki Gauntlet.pdf")</f>
        <v>Kamen Rider Heisei Part 2 - Ryuki Gauntlet.pdf</v>
      </c>
      <c r="B505" s="12" t="str">
        <f t="shared" si="112"/>
        <v>DriveAnon's 4chan Drive/2. EVERYONE ELSE'S JUMPS/3. Series/Kamen Rider/Kamen Rider Heisei</v>
      </c>
    </row>
    <row r="506">
      <c r="A506" s="12" t="str">
        <f>HYPERLINK("https://drive.google.com/file/d/1HyipIJUWraD2mYR92B9766ur2VLgjDVz/view?usp=drivesdk","Kamen Rider Heisei Part Final_ Decade JumpChain.pdf")</f>
        <v>Kamen Rider Heisei Part Final_ Decade JumpChain.pdf</v>
      </c>
      <c r="B506" s="12" t="str">
        <f t="shared" si="112"/>
        <v>DriveAnon's 4chan Drive/2. EVERYONE ELSE'S JUMPS/3. Series/Kamen Rider/Kamen Rider Heisei</v>
      </c>
    </row>
    <row r="507">
      <c r="A507" s="12" t="str">
        <f>HYPERLINK("https://drive.google.com/file/d/1NDCbRjw5I2Ye18Y3VpfWAjdsH8AvwIgP/view?usp=drivesdk","Kamen Rider Heisei Part 1 - Kuuga _ Agito JumpChain.pdf")</f>
        <v>Kamen Rider Heisei Part 1 - Kuuga _ Agito JumpChain.pdf</v>
      </c>
      <c r="B507" s="12" t="str">
        <f t="shared" si="112"/>
        <v>DriveAnon's 4chan Drive/2. EVERYONE ELSE'S JUMPS/3. Series/Kamen Rider/Kamen Rider Heisei</v>
      </c>
    </row>
    <row r="508">
      <c r="A508" s="12" t="str">
        <f>HYPERLINK("https://drive.google.com/file/d/1Or2hp8ZaYgGhL8_kR5RwGlZGgqSmjXC0/view?usp=drivesdk","Kamen Rider Heisei Part 7 Den-0 and Kiva JumpChain.pdf")</f>
        <v>Kamen Rider Heisei Part 7 Den-0 and Kiva JumpChain.pdf</v>
      </c>
      <c r="B508" s="12" t="str">
        <f t="shared" si="112"/>
        <v>DriveAnon's 4chan Drive/2. EVERYONE ELSE'S JUMPS/3. Series/Kamen Rider/Kamen Rider Heisei</v>
      </c>
    </row>
    <row r="509">
      <c r="A509" s="12" t="str">
        <f>HYPERLINK("https://drive.google.com/file/d/1emtdQSl-rno27xICQ3df0X3AqTU3tPTF/view?usp=drivesdk","Kamen Rider Heisei Part 6 Kabuto JumpChain.pdf")</f>
        <v>Kamen Rider Heisei Part 6 Kabuto JumpChain.pdf</v>
      </c>
      <c r="B509" s="12" t="str">
        <f t="shared" si="112"/>
        <v>DriveAnon's 4chan Drive/2. EVERYONE ELSE'S JUMPS/3. Series/Kamen Rider/Kamen Rider Heisei</v>
      </c>
    </row>
    <row r="510">
      <c r="A510" s="12" t="str">
        <f>HYPERLINK("https://drive.google.com/file/d/1DTvuYDu6qsSfgTljqZDdDyXSY2uu_RkK/view?usp=drivesdk","Showa Kamen Rider JumpChain -Part 2-.pdf")</f>
        <v>Showa Kamen Rider JumpChain -Part 2-.pdf</v>
      </c>
      <c r="B510" s="12" t="str">
        <f t="shared" ref="B510:B511" si="113">HYPERLINK("https://drive.google.com/drive/folders/1eams_jsM1dGKR_fsXSds4UyJXzIA38ra","DriveAnon's 4chan Drive/2. EVERYONE ELSE'S JUMPS/3. Series/Kamen Rider/Showa Kamen Rider")</f>
        <v>DriveAnon's 4chan Drive/2. EVERYONE ELSE'S JUMPS/3. Series/Kamen Rider/Showa Kamen Rider</v>
      </c>
    </row>
    <row r="511">
      <c r="A511" s="12" t="str">
        <f>HYPERLINK("https://drive.google.com/file/d/1cM1Y2mkBOVsBPG0cDXOcqYMWlsGhPiJp/view?usp=drivesdk","Showa Kamen Rider JumpChain -Part1-.pdf")</f>
        <v>Showa Kamen Rider JumpChain -Part1-.pdf</v>
      </c>
      <c r="B511" s="12" t="str">
        <f t="shared" si="113"/>
        <v>DriveAnon's 4chan Drive/2. EVERYONE ELSE'S JUMPS/3. Series/Kamen Rider/Showa Kamen Rider</v>
      </c>
    </row>
    <row r="512">
      <c r="A512" s="12" t="str">
        <f>HYPERLINK("https://drive.google.com/file/d/1-hYJHYyI_gKKvv0tIZ5s_sJc7jhfqOMR/view?usp=drivesdk","Kamen Rider Neo-Heisei Part 2 Jumpchain.pdf")</f>
        <v>Kamen Rider Neo-Heisei Part 2 Jumpchain.pdf</v>
      </c>
      <c r="B512" s="12" t="str">
        <f t="shared" ref="B512:B518" si="114">HYPERLINK("https://drive.google.com/drive/folders/1xiy-s5qHODqjwrVoEqud6a6jKvDGAD2I","DriveAnon's 4chan Drive/2. EVERYONE ELSE'S JUMPS/3. Series/Kamen Rider/Kamen Rider Neo-Heisei")</f>
        <v>DriveAnon's 4chan Drive/2. EVERYONE ELSE'S JUMPS/3. Series/Kamen Rider/Kamen Rider Neo-Heisei</v>
      </c>
    </row>
    <row r="513">
      <c r="A513" s="12" t="str">
        <f>HYPERLINK("https://drive.google.com/file/d/1BzGKxoI5tYGmrdXf2m2oc1HlzYZqSs-0/view?usp=drivesdk","Kamen Rider Neo-Heisei Part 4 Ex-Aid JumpChain.pdf")</f>
        <v>Kamen Rider Neo-Heisei Part 4 Ex-Aid JumpChain.pdf</v>
      </c>
      <c r="B513" s="12" t="str">
        <f t="shared" si="114"/>
        <v>DriveAnon's 4chan Drive/2. EVERYONE ELSE'S JUMPS/3. Series/Kamen Rider/Kamen Rider Neo-Heisei</v>
      </c>
    </row>
    <row r="514">
      <c r="A514" s="12" t="str">
        <f>HYPERLINK("https://drive.google.com/file/d/1DqLdNiVL3YUz5ErWUsgTFXEy8CpWNtfN/view?usp=drivesdk","Kamen Rider Neo-Heisei Part 1 DLC.pdf")</f>
        <v>Kamen Rider Neo-Heisei Part 1 DLC.pdf</v>
      </c>
      <c r="B514" s="12" t="str">
        <f t="shared" si="114"/>
        <v>DriveAnon's 4chan Drive/2. EVERYONE ELSE'S JUMPS/3. Series/Kamen Rider/Kamen Rider Neo-Heisei</v>
      </c>
    </row>
    <row r="515">
      <c r="A515" s="12" t="str">
        <f>HYPERLINK("https://drive.google.com/file/d/1_f-Kj50sbgJUqkKsweD66YdlGkhbiLwF/view?usp=drivesdk","Kamen Rider Neo-Heisei Part 3 Jumpchain.pdf")</f>
        <v>Kamen Rider Neo-Heisei Part 3 Jumpchain.pdf</v>
      </c>
      <c r="B515" s="12" t="str">
        <f t="shared" si="114"/>
        <v>DriveAnon's 4chan Drive/2. EVERYONE ELSE'S JUMPS/3. Series/Kamen Rider/Kamen Rider Neo-Heisei</v>
      </c>
    </row>
    <row r="516">
      <c r="A516" s="12" t="str">
        <f>HYPERLINK("https://drive.google.com/file/d/1dn69PxGGQ3BOCUjwl6zOBdWJWmyyRSNJ/view?usp=drivesdk","Kamen Rider Neo-Heisei Part 1 JumpChain.pdf")</f>
        <v>Kamen Rider Neo-Heisei Part 1 JumpChain.pdf</v>
      </c>
      <c r="B516" s="12" t="str">
        <f t="shared" si="114"/>
        <v>DriveAnon's 4chan Drive/2. EVERYONE ELSE'S JUMPS/3. Series/Kamen Rider/Kamen Rider Neo-Heisei</v>
      </c>
    </row>
    <row r="517">
      <c r="A517" s="12" t="str">
        <f>HYPERLINK("https://drive.google.com/file/d/1gYE0GCHDaiffmY2HJ2u7P8OQYrU6MjvR/view?usp=drivesdk","Kamen Rider Gaim JumpChain.pdf")</f>
        <v>Kamen Rider Gaim JumpChain.pdf</v>
      </c>
      <c r="B517" s="12" t="str">
        <f t="shared" si="114"/>
        <v>DriveAnon's 4chan Drive/2. EVERYONE ELSE'S JUMPS/3. Series/Kamen Rider/Kamen Rider Neo-Heisei</v>
      </c>
    </row>
    <row r="518">
      <c r="A518" s="12" t="str">
        <f>HYPERLINK("https://drive.google.com/file/d/1p2KfYM9AEM5L1MS_PsaEeYv9TlF_tOAU/view?usp=drivesdk","Kamen Rider Neo-Heisei Part 6 Zi-Oh JumpChain.pdf")</f>
        <v>Kamen Rider Neo-Heisei Part 6 Zi-Oh JumpChain.pdf</v>
      </c>
      <c r="B518" s="12" t="str">
        <f t="shared" si="114"/>
        <v>DriveAnon's 4chan Drive/2. EVERYONE ELSE'S JUMPS/3. Series/Kamen Rider/Kamen Rider Neo-Heisei</v>
      </c>
    </row>
    <row r="519">
      <c r="A519" s="12" t="str">
        <f>HYPERLINK("https://drive.google.com/file/d/1hguPJGyqkl5j6SqEpXz6JII7MdQ4CJui/view?usp=drivesdk","My Immortal.pdf")</f>
        <v>My Immortal.pdf</v>
      </c>
      <c r="B519" s="12" t="str">
        <f t="shared" ref="B519:B522" si="115">HYPERLINK("https://drive.google.com/drive/folders/1Q3TcTj8GylQh7sdEI3-EHGc6bWjUJkTt","DriveAnon's 4chan Drive/2. EVERYONE ELSE'S JUMPS/3. Series/Harry Potter")</f>
        <v>DriveAnon's 4chan Drive/2. EVERYONE ELSE'S JUMPS/3. Series/Harry Potter</v>
      </c>
    </row>
    <row r="520">
      <c r="A520" s="12" t="str">
        <f>HYPERLINK("https://drive.google.com/file/d/1K1mKzewA01u3mzIqV8lN504rzjytuoo_/view?usp=drivesdk","Harry Potter JumpChain.pdf")</f>
        <v>Harry Potter JumpChain.pdf</v>
      </c>
      <c r="B520" s="12" t="str">
        <f t="shared" si="115"/>
        <v>DriveAnon's 4chan Drive/2. EVERYONE ELSE'S JUMPS/3. Series/Harry Potter</v>
      </c>
    </row>
    <row r="521">
      <c r="A521" s="12" t="str">
        <f>HYPERLINK("https://drive.google.com/file/d/1iCAHRyQFRNQhiBYMHkSG7OJQEvk73aJw/view?usp=drivesdk","Fantastic Beasts JumpChain.pdf")</f>
        <v>Fantastic Beasts JumpChain.pdf</v>
      </c>
      <c r="B521" s="12" t="str">
        <f t="shared" si="115"/>
        <v>DriveAnon's 4chan Drive/2. EVERYONE ELSE'S JUMPS/3. Series/Harry Potter</v>
      </c>
    </row>
    <row r="522">
      <c r="A522" s="12" t="str">
        <f>HYPERLINK("https://drive.google.com/file/d/1vAEz0VQ_cVBHkJO1bizoav12QCmtuXWr/view?usp=drivesdk","Partially Kissed Hero JumpChain.pdf")</f>
        <v>Partially Kissed Hero JumpChain.pdf</v>
      </c>
      <c r="B522" s="12" t="str">
        <f t="shared" si="115"/>
        <v>DriveAnon's 4chan Drive/2. EVERYONE ELSE'S JUMPS/3. Series/Harry Potter</v>
      </c>
    </row>
    <row r="523">
      <c r="A523" s="12" t="str">
        <f>HYPERLINK("https://drive.google.com/file/d/1UTuGLC_fQ9fyspiOo0Rgg9emVbfiWP4_/view?usp=drivesdk","Idolmaster (Imaged) JumpChain.pdf")</f>
        <v>Idolmaster (Imaged) JumpChain.pdf</v>
      </c>
      <c r="B523" s="12" t="str">
        <f t="shared" ref="B523:B524" si="116">HYPERLINK("https://drive.google.com/drive/folders/1mLbFInzvJjTueCbUIEMo5wawgNkL797z","DriveAnon's 4chan Drive/2. EVERYONE ELSE'S JUMPS/3. Series/Idolmaster")</f>
        <v>DriveAnon's 4chan Drive/2. EVERYONE ELSE'S JUMPS/3. Series/Idolmaster</v>
      </c>
    </row>
    <row r="524">
      <c r="A524" s="12" t="str">
        <f>HYPERLINK("https://drive.google.com/file/d/1YNxVc15iVfSDq11dT5r31NeCjx-qMH2B/view?usp=drivesdk","Idolmaster JumpChain.pdf")</f>
        <v>Idolmaster JumpChain.pdf</v>
      </c>
      <c r="B524" s="12" t="str">
        <f t="shared" si="116"/>
        <v>DriveAnon's 4chan Drive/2. EVERYONE ELSE'S JUMPS/3. Series/Idolmaster</v>
      </c>
    </row>
    <row r="525">
      <c r="A525" s="12" t="str">
        <f>HYPERLINK("https://drive.google.com/file/d/1bQhIQSUxhh6MB8xH2cDOmHVwgpQ4tQKV/view?usp=drivesdk","Halo - UNSC.pdf")</f>
        <v>Halo - UNSC.pdf</v>
      </c>
      <c r="B525" s="12" t="str">
        <f t="shared" ref="B525:B527" si="117">HYPERLINK("https://drive.google.com/drive/folders/1vvfEVBTAEzqs86gViNPNHk-sbLIUwKwd","DriveAnon's 4chan Drive/2. EVERYONE ELSE'S JUMPS/3. Series/Halo")</f>
        <v>DriveAnon's 4chan Drive/2. EVERYONE ELSE'S JUMPS/3. Series/Halo</v>
      </c>
    </row>
    <row r="526">
      <c r="A526" s="12" t="str">
        <f>HYPERLINK("https://drive.google.com/file/d/1sMs1SuEZscHF435OC5R9lZkr2wtGzd8C/view?usp=drivesdk","Halo - The Forerunner Saga.pdf")</f>
        <v>Halo - The Forerunner Saga.pdf</v>
      </c>
      <c r="B526" s="12" t="str">
        <f t="shared" si="117"/>
        <v>DriveAnon's 4chan Drive/2. EVERYONE ELSE'S JUMPS/3. Series/Halo</v>
      </c>
    </row>
    <row r="527">
      <c r="A527" s="12" t="str">
        <f>HYPERLINK("https://drive.google.com/file/d/1SYPZ4trSksT-KEW6ajFtLK32uFCUkgF2/view?usp=drivesdk","Halo- The Covenant JumpChain.pdf")</f>
        <v>Halo- The Covenant JumpChain.pdf</v>
      </c>
      <c r="B527" s="12" t="str">
        <f t="shared" si="117"/>
        <v>DriveAnon's 4chan Drive/2. EVERYONE ELSE'S JUMPS/3. Series/Halo</v>
      </c>
    </row>
    <row r="528">
      <c r="A528" s="12" t="str">
        <f>HYPERLINK("https://drive.google.com/file/d/1RoK-lk93olcd6w_s4zT4EjjKDEQGe8ii/view?usp=drivesdk","Gurren Lagann JumpChain [Text Version].pdf")</f>
        <v>Gurren Lagann JumpChain [Text Version].pdf</v>
      </c>
      <c r="B528" s="12" t="str">
        <f t="shared" ref="B528:B529" si="118">HYPERLINK("https://drive.google.com/drive/folders/1ogupFjHZNlJYWDja5JVg9Mu3Y74SevQ-","DriveAnon's 4chan Drive/2. EVERYONE ELSE'S JUMPS/3. Series/Gurren Lagann")</f>
        <v>DriveAnon's 4chan Drive/2. EVERYONE ELSE'S JUMPS/3. Series/Gurren Lagann</v>
      </c>
    </row>
    <row r="529">
      <c r="A529" s="12" t="str">
        <f>HYPERLINK("https://drive.google.com/file/d/1s_4k49GkRW2toBUjJPFZ8Ad1uCoKTWM3/view?usp=drivesdk","Gurren Lagann JumpChain.pdf")</f>
        <v>Gurren Lagann JumpChain.pdf</v>
      </c>
      <c r="B529" s="12" t="str">
        <f t="shared" si="118"/>
        <v>DriveAnon's 4chan Drive/2. EVERYONE ELSE'S JUMPS/3. Series/Gurren Lagann</v>
      </c>
    </row>
    <row r="530">
      <c r="A530" s="12" t="str">
        <f>HYPERLINK("https://drive.google.com/file/d/1lLTD_T0ufagywgLZnkIA7YetpRT1hRCp/view?usp=drivesdk","GURPS Psi-Wars.pdf")</f>
        <v>GURPS Psi-Wars.pdf</v>
      </c>
      <c r="B530" s="12" t="str">
        <f t="shared" ref="B530:B534" si="119">HYPERLINK("https://drive.google.com/drive/folders/1iglCdpAwkptmRYfNXRmkUdajjylWdBhq","DriveAnon's 4chan Drive/2. EVERYONE ELSE'S JUMPS/3. Series/GURPS")</f>
        <v>DriveAnon's 4chan Drive/2. EVERYONE ELSE'S JUMPS/3. Series/GURPS</v>
      </c>
    </row>
    <row r="531">
      <c r="A531" s="12" t="str">
        <f>HYPERLINK("https://drive.google.com/file/d/15YB8i_xj4qjMz1ZmO157OSgHtkRRDCtm/view?usp=drivesdk","GURPS Dungeon Fantasy JumpChain.pdf")</f>
        <v>GURPS Dungeon Fantasy JumpChain.pdf</v>
      </c>
      <c r="B531" s="12" t="str">
        <f t="shared" si="119"/>
        <v>DriveAnon's 4chan Drive/2. EVERYONE ELSE'S JUMPS/3. Series/GURPS</v>
      </c>
    </row>
    <row r="532">
      <c r="A532" s="12" t="str">
        <f>HYPERLINK("https://drive.google.com/file/d/17yjvsFB4biAorcegYaY-FeJzeTW4Zl2K/view?usp=drivesdk","GURPS Monster Hunters JumpChain.pdf")</f>
        <v>GURPS Monster Hunters JumpChain.pdf</v>
      </c>
      <c r="B532" s="12" t="str">
        <f t="shared" si="119"/>
        <v>DriveAnon's 4chan Drive/2. EVERYONE ELSE'S JUMPS/3. Series/GURPS</v>
      </c>
    </row>
    <row r="533">
      <c r="A533" s="12" t="str">
        <f>HYPERLINK("https://drive.google.com/file/d/1L356FQ99dtqwI7li3MRE4XBkUP75QxvL/view?usp=drivesdk","GURPS Technomancer JumpChain.pdf")</f>
        <v>GURPS Technomancer JumpChain.pdf</v>
      </c>
      <c r="B533" s="12" t="str">
        <f t="shared" si="119"/>
        <v>DriveAnon's 4chan Drive/2. EVERYONE ELSE'S JUMPS/3. Series/GURPS</v>
      </c>
    </row>
    <row r="534">
      <c r="A534" s="12" t="str">
        <f>HYPERLINK("https://drive.google.com/file/d/1AxsYXH0f4oQuHHgotfFlXf9yTh5dTtxT/view?usp=drivesdk","IOU JumpChain.pdf")</f>
        <v>IOU JumpChain.pdf</v>
      </c>
      <c r="B534" s="12" t="str">
        <f t="shared" si="119"/>
        <v>DriveAnon's 4chan Drive/2. EVERYONE ELSE'S JUMPS/3. Series/GURPS</v>
      </c>
    </row>
    <row r="535">
      <c r="A535" s="12" t="str">
        <f>HYPERLINK("https://drive.google.com/file/d/143VnD4NY8OJCndwPk2PjIa_adoe5_832/view?usp=drivesdk","Gungrave JumpChain Part 4 (VR-GORE).pdf")</f>
        <v>Gungrave JumpChain Part 4 (VR-GORE).pdf</v>
      </c>
      <c r="B535" s="12" t="str">
        <f t="shared" ref="B535:B539" si="120">HYPERLINK("https://drive.google.com/drive/folders/1VqYKqEa_bnxzBkugvYB5lXCNa32Ml3c8","DriveAnon's 4chan Drive/2. EVERYONE ELSE'S JUMPS/3. Series/Gungrave")</f>
        <v>DriveAnon's 4chan Drive/2. EVERYONE ELSE'S JUMPS/3. Series/Gungrave</v>
      </c>
    </row>
    <row r="536">
      <c r="A536" s="12" t="str">
        <f>HYPERLINK("https://drive.google.com/file/d/1BGSx8p-Wjqi3RdmgHix1NySatUc0xFiC/view?usp=drivesdk","Gungrave JumpChain Part 3 (Overdose).pdf")</f>
        <v>Gungrave JumpChain Part 3 (Overdose).pdf</v>
      </c>
      <c r="B536" s="12" t="str">
        <f t="shared" si="120"/>
        <v>DriveAnon's 4chan Drive/2. EVERYONE ELSE'S JUMPS/3. Series/Gungrave</v>
      </c>
    </row>
    <row r="537">
      <c r="A537" s="12" t="str">
        <f>HYPERLINK("https://drive.google.com/file/d/1PjI6uHRoSQ_IaZf7e8u1ND_3Og3TRvpC/view?usp=drivesdk","Gungrave Series JumpChain(s).pdf")</f>
        <v>Gungrave Series JumpChain(s).pdf</v>
      </c>
      <c r="B537" s="12" t="str">
        <f t="shared" si="120"/>
        <v>DriveAnon's 4chan Drive/2. EVERYONE ELSE'S JUMPS/3. Series/Gungrave</v>
      </c>
    </row>
    <row r="538">
      <c r="A538" s="12" t="str">
        <f>HYPERLINK("https://drive.google.com/file/d/1cFNTVE3_jFRfJ_Ow7RleQlrflUQaK23Y/view?usp=drivesdk","Gungrave JumpChain Part 2 (Post-Timeskip).pdf")</f>
        <v>Gungrave JumpChain Part 2 (Post-Timeskip).pdf</v>
      </c>
      <c r="B538" s="12" t="str">
        <f t="shared" si="120"/>
        <v>DriveAnon's 4chan Drive/2. EVERYONE ELSE'S JUMPS/3. Series/Gungrave</v>
      </c>
    </row>
    <row r="539">
      <c r="A539" s="12" t="str">
        <f>HYPERLINK("https://drive.google.com/file/d/1cLIE79ocS4QpA6LL8jnFrEo4hbRyb-Aa/view?usp=drivesdk","Gungrave JumpChain Part 1 (Pre-Timeskip).pdf")</f>
        <v>Gungrave JumpChain Part 1 (Pre-Timeskip).pdf</v>
      </c>
      <c r="B539" s="12" t="str">
        <f t="shared" si="120"/>
        <v>DriveAnon's 4chan Drive/2. EVERYONE ELSE'S JUMPS/3. Series/Gungrave</v>
      </c>
    </row>
    <row r="540">
      <c r="A540" s="12" t="str">
        <f>HYPERLINK("https://drive.google.com/file/d/105z97xqHUuQrjM-P9AF_b7TQXE2zm4jE/view?usp=drivesdk","Gundam Build Fighters JumpChain.pdf")</f>
        <v>Gundam Build Fighters JumpChain.pdf</v>
      </c>
      <c r="B540" s="12" t="str">
        <f t="shared" ref="B540:B549" si="121">HYPERLINK("https://drive.google.com/drive/folders/1ZJkd_PqiMm2L7I-mQyR27fQxEHl4OoiY","DriveAnon's 4chan Drive/2. EVERYONE ELSE'S JUMPS/3. Series/Gundam")</f>
        <v>DriveAnon's 4chan Drive/2. EVERYONE ELSE'S JUMPS/3. Series/Gundam</v>
      </c>
    </row>
    <row r="541">
      <c r="A541" s="12" t="str">
        <f>HYPERLINK("https://drive.google.com/file/d/127K-w_PfuqUaTZkjIZLDWBbIHHb_Iqto/view?usp=drivesdk","Mobile Suit Gundam Iron-Blooded Orphans JumpChain.pdf")</f>
        <v>Mobile Suit Gundam Iron-Blooded Orphans JumpChain.pdf</v>
      </c>
      <c r="B541" s="12" t="str">
        <f t="shared" si="121"/>
        <v>DriveAnon's 4chan Drive/2. EVERYONE ELSE'S JUMPS/3. Series/Gundam</v>
      </c>
    </row>
    <row r="542">
      <c r="A542" s="12" t="str">
        <f>HYPERLINK("https://drive.google.com/file/d/17t_xwcJinxKX5tNBs2120snyiZQLzv6b/view?usp=drivesdk","Gundam- Universal Century JumpChain.pdf")</f>
        <v>Gundam- Universal Century JumpChain.pdf</v>
      </c>
      <c r="B542" s="12" t="str">
        <f t="shared" si="121"/>
        <v>DriveAnon's 4chan Drive/2. EVERYONE ELSE'S JUMPS/3. Series/Gundam</v>
      </c>
    </row>
    <row r="543">
      <c r="A543" s="12" t="str">
        <f>HYPERLINK("https://drive.google.com/file/d/1Azl7XPdWfCyqVuKeyI-GnxjA0TL12_hg/view?usp=drivesdk","Mobile Suit Gundam-Seed JumpChain.pdf")</f>
        <v>Mobile Suit Gundam-Seed JumpChain.pdf</v>
      </c>
      <c r="B543" s="12" t="str">
        <f t="shared" si="121"/>
        <v>DriveAnon's 4chan Drive/2. EVERYONE ELSE'S JUMPS/3. Series/Gundam</v>
      </c>
    </row>
    <row r="544">
      <c r="A544" s="12" t="str">
        <f>HYPERLINK("https://drive.google.com/file/d/1KI1Y2C8GxDeHktB6wJKYa289qqa-IE3X/view?usp=drivesdk","MOBILE JUMP GUNDAM Jumpchain.pdf")</f>
        <v>MOBILE JUMP GUNDAM Jumpchain.pdf</v>
      </c>
      <c r="B544" s="12" t="str">
        <f t="shared" si="121"/>
        <v>DriveAnon's 4chan Drive/2. EVERYONE ELSE'S JUMPS/3. Series/Gundam</v>
      </c>
    </row>
    <row r="545">
      <c r="A545" s="12" t="str">
        <f>HYPERLINK("https://drive.google.com/file/d/1MFlRD4xLjJw7ABZOSWHDAbwiIWcnezI5/view?usp=drivesdk","After War Gundam X JumpChain.pdf")</f>
        <v>After War Gundam X JumpChain.pdf</v>
      </c>
      <c r="B545" s="12" t="str">
        <f t="shared" si="121"/>
        <v>DriveAnon's 4chan Drive/2. EVERYONE ELSE'S JUMPS/3. Series/Gundam</v>
      </c>
    </row>
    <row r="546">
      <c r="A546" s="12" t="str">
        <f>HYPERLINK("https://drive.google.com/file/d/1_ZrVIY9kVlnvtRbAp5W3gHO4ItghB0FQ/view?usp=drivesdk","Gundam Anno Domini JumpChain.pdf")</f>
        <v>Gundam Anno Domini JumpChain.pdf</v>
      </c>
      <c r="B546" s="12" t="str">
        <f t="shared" si="121"/>
        <v>DriveAnon's 4chan Drive/2. EVERYONE ELSE'S JUMPS/3. Series/Gundam</v>
      </c>
    </row>
    <row r="547">
      <c r="A547" s="12" t="str">
        <f>HYPERLINK("https://drive.google.com/file/d/1_hMDZrhZD1HAJJs2k1E8yLPrQf5pXNMI/view?usp=drivesdk","Gundam-Future Century JumpChain.pdf")</f>
        <v>Gundam-Future Century JumpChain.pdf</v>
      </c>
      <c r="B547" s="12" t="str">
        <f t="shared" si="121"/>
        <v>DriveAnon's 4chan Drive/2. EVERYONE ELSE'S JUMPS/3. Series/Gundam</v>
      </c>
    </row>
    <row r="548">
      <c r="A548" s="12" t="str">
        <f>HYPERLINK("https://drive.google.com/file/d/1dWl72DNj0E-HiKgQMC1jendvINwcHGE9/view?usp=drivesdk","Gundam- After Colony JumpChain.pdf")</f>
        <v>Gundam- After Colony JumpChain.pdf</v>
      </c>
      <c r="B548" s="12" t="str">
        <f t="shared" si="121"/>
        <v>DriveAnon's 4chan Drive/2. EVERYONE ELSE'S JUMPS/3. Series/Gundam</v>
      </c>
    </row>
    <row r="549">
      <c r="A549" s="12" t="str">
        <f>HYPERLINK("https://drive.google.com/file/d/1vDXzYF1PZHK0jwO1Ixz-z3C8ihlNrDNg/view?usp=drivesdk","Gundam Advanced Generation JumpChain.pdf")</f>
        <v>Gundam Advanced Generation JumpChain.pdf</v>
      </c>
      <c r="B549" s="12" t="str">
        <f t="shared" si="121"/>
        <v>DriveAnon's 4chan Drive/2. EVERYONE ELSE'S JUMPS/3. Series/Gundam</v>
      </c>
    </row>
    <row r="550">
      <c r="A550" s="12" t="str">
        <f>HYPERLINK("https://drive.google.com/file/d/1RJcooQcAf5MNp0fVYf3Wvm1v2afO6qDG/view?usp=drivesdk","The Great Ruler, Part 2 - Warring Across Worlds.pdf")</f>
        <v>The Great Ruler, Part 2 - Warring Across Worlds.pdf</v>
      </c>
      <c r="B550" s="12" t="str">
        <f t="shared" ref="B550:B553" si="122">HYPERLINK("https://drive.google.com/drive/folders/1M-mgmLM3wMCFUFERS7QRFtZrib53v3FM","DriveAnon's 4chan Drive/2. EVERYONE ELSE'S JUMPS/3. Series/Great Thousand Worlds")</f>
        <v>DriveAnon's 4chan Drive/2. EVERYONE ELSE'S JUMPS/3. Series/Great Thousand Worlds</v>
      </c>
    </row>
    <row r="551">
      <c r="A551" s="12" t="str">
        <f>HYPERLINK("https://drive.google.com/file/d/1x7Eics3kmS2rjsJvGajeEVakJxC90wkD/view?usp=drivesdk","The Great Ruler, Part 1 - Academic Accolades.pdf")</f>
        <v>The Great Ruler, Part 1 - Academic Accolades.pdf</v>
      </c>
      <c r="B551" s="12" t="str">
        <f t="shared" si="122"/>
        <v>DriveAnon's 4chan Drive/2. EVERYONE ELSE'S JUMPS/3. Series/Great Thousand Worlds</v>
      </c>
    </row>
    <row r="552">
      <c r="A552" s="12" t="str">
        <f>HYPERLINK("https://drive.google.com/file/d/1EjlW_iPFxusermKZd2IRx12ad0uz7vFs/view?usp=drivesdk","Wu Dong Qian Kun.pdf")</f>
        <v>Wu Dong Qian Kun.pdf</v>
      </c>
      <c r="B552" s="12" t="str">
        <f t="shared" si="122"/>
        <v>DriveAnon's 4chan Drive/2. EVERYONE ELSE'S JUMPS/3. Series/Great Thousand Worlds</v>
      </c>
    </row>
    <row r="553">
      <c r="A553" s="12" t="str">
        <f>HYPERLINK("https://drive.google.com/file/d/1tsADtPhgp-Ia3LvGYj25F9cjt8N1QG_L/view?usp=drivesdk","Battle Through The Heavens JumpChain.pdf")</f>
        <v>Battle Through The Heavens JumpChain.pdf</v>
      </c>
      <c r="B553" s="12" t="str">
        <f t="shared" si="122"/>
        <v>DriveAnon's 4chan Drive/2. EVERYONE ELSE'S JUMPS/3. Series/Great Thousand Worlds</v>
      </c>
    </row>
    <row r="554">
      <c r="A554" s="12" t="str">
        <f>HYPERLINK("https://drive.google.com/file/d/1ORFDeVPgA84WBMgaiPIwo2WxD7mx_Pvd/view?usp=drivesdk","Gojira.pdf")</f>
        <v>Gojira.pdf</v>
      </c>
      <c r="B554" s="12" t="str">
        <f t="shared" ref="B554:B562" si="123">HYPERLINK("https://drive.google.com/drive/folders/1-AM6_-VFBOnTdk5AMV5A6JMW7JAYdygE","DriveAnon's 4chan Drive/2. EVERYONE ELSE'S JUMPS/3. Series/Godzilla")</f>
        <v>DriveAnon's 4chan Drive/2. EVERYONE ELSE'S JUMPS/3. Series/Godzilla</v>
      </c>
    </row>
    <row r="555">
      <c r="A555" s="12" t="str">
        <f>HYPERLINK("https://drive.google.com/file/d/1yJ4so5oHvADjCWgS2o5P5n060cSDtFyA/view?usp=drivesdk","Godzilla (Anime Trilogy).pdf")</f>
        <v>Godzilla (Anime Trilogy).pdf</v>
      </c>
      <c r="B555" s="12" t="str">
        <f t="shared" si="123"/>
        <v>DriveAnon's 4chan Drive/2. EVERYONE ELSE'S JUMPS/3. Series/Godzilla</v>
      </c>
    </row>
    <row r="556">
      <c r="A556" s="12" t="str">
        <f>HYPERLINK("https://drive.google.com/file/d/1CQBy0pOyvPDCrWNVT9E225rWmf4z5YyY/view?usp=drivesdk","MonsterVerse.pdf")</f>
        <v>MonsterVerse.pdf</v>
      </c>
      <c r="B556" s="12" t="str">
        <f t="shared" si="123"/>
        <v>DriveAnon's 4chan Drive/2. EVERYONE ELSE'S JUMPS/3. Series/Godzilla</v>
      </c>
    </row>
    <row r="557">
      <c r="A557" s="12" t="str">
        <f>HYPERLINK("https://drive.google.com/file/d/1ASqZiGWamQ9OE5G9MW7YOYSjL2fVS34N/view?usp=drivesdk","Godzilla (Showa).pdf")</f>
        <v>Godzilla (Showa).pdf</v>
      </c>
      <c r="B557" s="12" t="str">
        <f t="shared" si="123"/>
        <v>DriveAnon's 4chan Drive/2. EVERYONE ELSE'S JUMPS/3. Series/Godzilla</v>
      </c>
    </row>
    <row r="558">
      <c r="A558" s="12" t="str">
        <f>HYPERLINK("https://drive.google.com/file/d/1eO32n1YHlKU3zPduF_3jfqpeFEFj6pxU/view?usp=drivesdk","Godzilla (Heisei).pdf")</f>
        <v>Godzilla (Heisei).pdf</v>
      </c>
      <c r="B558" s="12" t="str">
        <f t="shared" si="123"/>
        <v>DriveAnon's 4chan Drive/2. EVERYONE ELSE'S JUMPS/3. Series/Godzilla</v>
      </c>
    </row>
    <row r="559">
      <c r="A559" s="12" t="str">
        <f>HYPERLINK("https://drive.google.com/file/d/13i1Q2PbMKEspN7M1sIeISxQDxpa_fYEq/view?usp=drivesdk","Godzilla - The Series JumpChain.pdf")</f>
        <v>Godzilla - The Series JumpChain.pdf</v>
      </c>
      <c r="B559" s="12" t="str">
        <f t="shared" si="123"/>
        <v>DriveAnon's 4chan Drive/2. EVERYONE ELSE'S JUMPS/3. Series/Godzilla</v>
      </c>
    </row>
    <row r="560">
      <c r="A560" s="12" t="str">
        <f>HYPERLINK("https://drive.google.com/file/d/16EWEBcn6Vwg1waDqyygrqJViBtZ7GEUt/view?usp=drivesdk","Godzilla (IDW Comics) JumpChain.pdf")</f>
        <v>Godzilla (IDW Comics) JumpChain.pdf</v>
      </c>
      <c r="B560" s="12" t="str">
        <f t="shared" si="123"/>
        <v>DriveAnon's 4chan Drive/2. EVERYONE ELSE'S JUMPS/3. Series/Godzilla</v>
      </c>
    </row>
    <row r="561">
      <c r="A561" s="12" t="str">
        <f>HYPERLINK("https://drive.google.com/file/d/1Vc5QTUTeal0DXg8doCBeZI23MAY7ef-b/view?usp=drivesdk","Shin Godzilla JumpChain.pdf")</f>
        <v>Shin Godzilla JumpChain.pdf</v>
      </c>
      <c r="B561" s="12" t="str">
        <f t="shared" si="123"/>
        <v>DriveAnon's 4chan Drive/2. EVERYONE ELSE'S JUMPS/3. Series/Godzilla</v>
      </c>
    </row>
    <row r="562">
      <c r="A562" s="12" t="str">
        <f>HYPERLINK("https://drive.google.com/file/d/1_Hr2mU4K73zzbhOaXxxrLiynHCOIY3n6/view?usp=drivesdk","Godzilla (Millennium) JumpChain.pdf")</f>
        <v>Godzilla (Millennium) JumpChain.pdf</v>
      </c>
      <c r="B562" s="12" t="str">
        <f t="shared" si="123"/>
        <v>DriveAnon's 4chan Drive/2. EVERYONE ELSE'S JUMPS/3. Series/Godzilla</v>
      </c>
    </row>
    <row r="563">
      <c r="A563" s="12" t="str">
        <f>HYPERLINK("https://drive.google.com/file/d/1Q4kjm7mk-69nmRTYhTQvDhB18DSFhv0f/view?usp=drivesdk","Final Fantasy VII (By HeavensAnon).pdf")</f>
        <v>Final Fantasy VII (By HeavensAnon).pdf</v>
      </c>
      <c r="B563" s="12" t="str">
        <f t="shared" ref="B563:B588" si="124">HYPERLINK("https://drive.google.com/drive/folders/1CdGvKxCOFEj-UhWTZrtNFmo9CiVADNx2","DriveAnon's 4chan Drive/2. EVERYONE ELSE'S JUMPS/3. Series/Final Fantasy")</f>
        <v>DriveAnon's 4chan Drive/2. EVERYONE ELSE'S JUMPS/3. Series/Final Fantasy</v>
      </c>
    </row>
    <row r="564">
      <c r="A564" s="12" t="str">
        <f>HYPERLINK("https://drive.google.com/file/d/1Nhd35UKwD5EAi_CMcuLnMlO1MQneYe_3/view?usp=drivesdk","Final Fantasy VI (by PrincessAnon).pdf")</f>
        <v>Final Fantasy VI (by PrincessAnon).pdf</v>
      </c>
      <c r="B564" s="12" t="str">
        <f t="shared" si="124"/>
        <v>DriveAnon's 4chan Drive/2. EVERYONE ELSE'S JUMPS/3. Series/Final Fantasy</v>
      </c>
    </row>
    <row r="565">
      <c r="A565" s="12" t="str">
        <f>HYPERLINK("https://drive.google.com/file/d/1Db-ki_Pab7M4IZjkC0fWHBplk--GCBiz/view?usp=drivesdk","Final Fantasy XIV.pdf")</f>
        <v>Final Fantasy XIV.pdf</v>
      </c>
      <c r="B565" s="12" t="str">
        <f t="shared" si="124"/>
        <v>DriveAnon's 4chan Drive/2. EVERYONE ELSE'S JUMPS/3. Series/Final Fantasy</v>
      </c>
    </row>
    <row r="566">
      <c r="A566" s="12" t="str">
        <f>HYPERLINK("https://drive.google.com/file/d/1zeEWla1RM0s1AJvLlR4KBiWCx_Marvze/view?usp=drivesdk","Final Fantasy XIII-III.pdf")</f>
        <v>Final Fantasy XIII-III.pdf</v>
      </c>
      <c r="B566" s="12" t="str">
        <f t="shared" si="124"/>
        <v>DriveAnon's 4chan Drive/2. EVERYONE ELSE'S JUMPS/3. Series/Final Fantasy</v>
      </c>
    </row>
    <row r="567">
      <c r="A567" s="12" t="str">
        <f>HYPERLINK("https://drive.google.com/file/d/1KzvDRBZ-tLzDLifPnkFwT8osKHgtgU99/view?usp=drivesdk","Final Fantasy XIII-II.pdf")</f>
        <v>Final Fantasy XIII-II.pdf</v>
      </c>
      <c r="B567" s="12" t="str">
        <f t="shared" si="124"/>
        <v>DriveAnon's 4chan Drive/2. EVERYONE ELSE'S JUMPS/3. Series/Final Fantasy</v>
      </c>
    </row>
    <row r="568">
      <c r="A568" s="12" t="str">
        <f>HYPERLINK("https://drive.google.com/file/d/18F-l_U2w1fvpm-nto8I8NN4zj6z-HzRR/view?usp=drivesdk","Final Fantasy XIII.pdf")</f>
        <v>Final Fantasy XIII.pdf</v>
      </c>
      <c r="B568" s="12" t="str">
        <f t="shared" si="124"/>
        <v>DriveAnon's 4chan Drive/2. EVERYONE ELSE'S JUMPS/3. Series/Final Fantasy</v>
      </c>
    </row>
    <row r="569">
      <c r="A569" s="12" t="str">
        <f>HYPERLINK("https://drive.google.com/file/d/1u5zizIbWzYYV-Clie_Pz0ZsZAtfwD9W8/view?usp=drivesdk","Final Fantasy XII RW.pdf")</f>
        <v>Final Fantasy XII RW.pdf</v>
      </c>
      <c r="B569" s="12" t="str">
        <f t="shared" si="124"/>
        <v>DriveAnon's 4chan Drive/2. EVERYONE ELSE'S JUMPS/3. Series/Final Fantasy</v>
      </c>
    </row>
    <row r="570">
      <c r="A570" s="12" t="str">
        <f>HYPERLINK("https://drive.google.com/file/d/1MBB9ip3rGZgJPMZtwdwWIkgsMomFDTO1/view?usp=drivesdk","Final Fantasy XII.pdf")</f>
        <v>Final Fantasy XII.pdf</v>
      </c>
      <c r="B570" s="12" t="str">
        <f t="shared" si="124"/>
        <v>DriveAnon's 4chan Drive/2. EVERYONE ELSE'S JUMPS/3. Series/Final Fantasy</v>
      </c>
    </row>
    <row r="571">
      <c r="A571" s="12" t="str">
        <f>HYPERLINK("https://drive.google.com/file/d/13_6erN8vDS1Jl1oHAuoiKoMIcldILx3G/view?usp=drivesdk","Final Fantasy XI.pdf")</f>
        <v>Final Fantasy XI.pdf</v>
      </c>
      <c r="B571" s="12" t="str">
        <f t="shared" si="124"/>
        <v>DriveAnon's 4chan Drive/2. EVERYONE ELSE'S JUMPS/3. Series/Final Fantasy</v>
      </c>
    </row>
    <row r="572">
      <c r="A572" s="12" t="str">
        <f>HYPERLINK("https://drive.google.com/file/d/1mq5VjK23vnANzwygOU3h-PLYu84Hlt9t/view?usp=drivesdk","Final Fantasy X.pdf")</f>
        <v>Final Fantasy X.pdf</v>
      </c>
      <c r="B572" s="12" t="str">
        <f t="shared" si="124"/>
        <v>DriveAnon's 4chan Drive/2. EVERYONE ELSE'S JUMPS/3. Series/Final Fantasy</v>
      </c>
    </row>
    <row r="573">
      <c r="A573" s="12" t="str">
        <f>HYPERLINK("https://drive.google.com/file/d/182RTSNxgu_IqgBo-yyMv10MWWsdTf9Ur/view?usp=drivesdk","Final Fantasy VIII.pdf")</f>
        <v>Final Fantasy VIII.pdf</v>
      </c>
      <c r="B573" s="12" t="str">
        <f t="shared" si="124"/>
        <v>DriveAnon's 4chan Drive/2. EVERYONE ELSE'S JUMPS/3. Series/Final Fantasy</v>
      </c>
    </row>
    <row r="574">
      <c r="A574" s="12" t="str">
        <f>HYPERLINK("https://drive.google.com/file/d/1uG45PP7q60pKp46HXnv7y2Fb_w4Ff1Jg/view?usp=drivesdk","Final Fantasy VII.pdf")</f>
        <v>Final Fantasy VII.pdf</v>
      </c>
      <c r="B574" s="12" t="str">
        <f t="shared" si="124"/>
        <v>DriveAnon's 4chan Drive/2. EVERYONE ELSE'S JUMPS/3. Series/Final Fantasy</v>
      </c>
    </row>
    <row r="575">
      <c r="A575" s="12" t="str">
        <f>HYPERLINK("https://drive.google.com/file/d/1ATjT6czcrYEP_ZWOzkkHR7y-x4gkkS2E/view?usp=drivesdk","Final Fantasy VI.pdf")</f>
        <v>Final Fantasy VI.pdf</v>
      </c>
      <c r="B575" s="12" t="str">
        <f t="shared" si="124"/>
        <v>DriveAnon's 4chan Drive/2. EVERYONE ELSE'S JUMPS/3. Series/Final Fantasy</v>
      </c>
    </row>
    <row r="576">
      <c r="A576" s="12" t="str">
        <f>HYPERLINK("https://drive.google.com/file/d/1z3_O2sXHW43wGkKJfSPeOC4srPPJRzyx/view?usp=drivesdk","Final Fantasy V.pdf")</f>
        <v>Final Fantasy V.pdf</v>
      </c>
      <c r="B576" s="12" t="str">
        <f t="shared" si="124"/>
        <v>DriveAnon's 4chan Drive/2. EVERYONE ELSE'S JUMPS/3. Series/Final Fantasy</v>
      </c>
    </row>
    <row r="577">
      <c r="A577" s="12" t="str">
        <f>HYPERLINK("https://drive.google.com/file/d/1dx9v6H9tqAlyC5WPeGf7CsayhL1V3yzP/view?usp=drivesdk","Final Fantasy Type-0.pdf")</f>
        <v>Final Fantasy Type-0.pdf</v>
      </c>
      <c r="B577" s="12" t="str">
        <f t="shared" si="124"/>
        <v>DriveAnon's 4chan Drive/2. EVERYONE ELSE'S JUMPS/3. Series/Final Fantasy</v>
      </c>
    </row>
    <row r="578">
      <c r="A578" s="12" t="str">
        <f>HYPERLINK("https://drive.google.com/file/d/1Th5EJ83JG5kWf2KOaXLb2We4sHYEDaEt/view?usp=drivesdk","Final Fantasy - The Spirits Within.pdf")</f>
        <v>Final Fantasy - The Spirits Within.pdf</v>
      </c>
      <c r="B578" s="12" t="str">
        <f t="shared" si="124"/>
        <v>DriveAnon's 4chan Drive/2. EVERYONE ELSE'S JUMPS/3. Series/Final Fantasy</v>
      </c>
    </row>
    <row r="579">
      <c r="A579" s="12" t="str">
        <f>HYPERLINK("https://drive.google.com/file/d/1PkjO38WHH5eQeiD1cMCNbWAntvrGADCp/view?usp=drivesdk","Final Fantasy Tactics.pdf")</f>
        <v>Final Fantasy Tactics.pdf</v>
      </c>
      <c r="B579" s="12" t="str">
        <f t="shared" si="124"/>
        <v>DriveAnon's 4chan Drive/2. EVERYONE ELSE'S JUMPS/3. Series/Final Fantasy</v>
      </c>
    </row>
    <row r="580">
      <c r="A580" s="12" t="str">
        <f>HYPERLINK("https://drive.google.com/file/d/15fqP1aPSK16XD4f61EQoULvVNKE-5i6m/view?usp=drivesdk","Final Fantasy IX.pdf")</f>
        <v>Final Fantasy IX.pdf</v>
      </c>
      <c r="B580" s="12" t="str">
        <f t="shared" si="124"/>
        <v>DriveAnon's 4chan Drive/2. EVERYONE ELSE'S JUMPS/3. Series/Final Fantasy</v>
      </c>
    </row>
    <row r="581">
      <c r="A581" s="12" t="str">
        <f>HYPERLINK("https://drive.google.com/file/d/14qBfM8TvgW2naRNBjR3HvI2KiV49dX84/view?usp=drivesdk","Final Fantasy IV.pdf")</f>
        <v>Final Fantasy IV.pdf</v>
      </c>
      <c r="B581" s="12" t="str">
        <f t="shared" si="124"/>
        <v>DriveAnon's 4chan Drive/2. EVERYONE ELSE'S JUMPS/3. Series/Final Fantasy</v>
      </c>
    </row>
    <row r="582">
      <c r="A582" s="12" t="str">
        <f>HYPERLINK("https://drive.google.com/file/d/1_jQ3GmLfV3OoONB_aib1EcTkKLRt1elf/view?usp=drivesdk","Final Fantasy III.pdf")</f>
        <v>Final Fantasy III.pdf</v>
      </c>
      <c r="B582" s="12" t="str">
        <f t="shared" si="124"/>
        <v>DriveAnon's 4chan Drive/2. EVERYONE ELSE'S JUMPS/3. Series/Final Fantasy</v>
      </c>
    </row>
    <row r="583">
      <c r="A583" s="12" t="str">
        <f>HYPERLINK("https://drive.google.com/file/d/1Olv9OTnzNlaVPzUaMrv1JhXWBWEz-tRP/view?usp=drivesdk","Final Fantasy II.pdf")</f>
        <v>Final Fantasy II.pdf</v>
      </c>
      <c r="B583" s="12" t="str">
        <f t="shared" si="124"/>
        <v>DriveAnon's 4chan Drive/2. EVERYONE ELSE'S JUMPS/3. Series/Final Fantasy</v>
      </c>
    </row>
    <row r="584">
      <c r="A584" s="12" t="str">
        <f>HYPERLINK("https://drive.google.com/file/d/1JZj-ejUL4hIOteo5Nu7I75_nxK45Svzx/view?usp=drivesdk","Final Fantasy - Crystal Chronicles.pdf")</f>
        <v>Final Fantasy - Crystal Chronicles.pdf</v>
      </c>
      <c r="B584" s="12" t="str">
        <f t="shared" si="124"/>
        <v>DriveAnon's 4chan Drive/2. EVERYONE ELSE'S JUMPS/3. Series/Final Fantasy</v>
      </c>
    </row>
    <row r="585">
      <c r="A585" s="12" t="str">
        <f>HYPERLINK("https://drive.google.com/file/d/1k-b9RtPGezVWV0eZlZ-PW3gYoHUh1Cd0/view?usp=drivesdk","Final Fantasy 15 - Kingsglaive.pdf")</f>
        <v>Final Fantasy 15 - Kingsglaive.pdf</v>
      </c>
      <c r="B585" s="12" t="str">
        <f t="shared" si="124"/>
        <v>DriveAnon's 4chan Drive/2. EVERYONE ELSE'S JUMPS/3. Series/Final Fantasy</v>
      </c>
    </row>
    <row r="586">
      <c r="A586" s="12" t="str">
        <f>HYPERLINK("https://drive.google.com/file/d/1La9bOYGA--LACMVF7t-3vSezwQNmkNl6/view?usp=drivesdk","Final Fantasy 1.pdf")</f>
        <v>Final Fantasy 1.pdf</v>
      </c>
      <c r="B586" s="12" t="str">
        <f t="shared" si="124"/>
        <v>DriveAnon's 4chan Drive/2. EVERYONE ELSE'S JUMPS/3. Series/Final Fantasy</v>
      </c>
    </row>
    <row r="587">
      <c r="A587" s="12" t="str">
        <f>HYPERLINK("https://drive.google.com/file/d/1JWhebymhPRoDuvZK2iQc4UCjQP_nHpoh/view?usp=drivesdk","Dissidia JumpChain.pdf")</f>
        <v>Dissidia JumpChain.pdf</v>
      </c>
      <c r="B587" s="12" t="str">
        <f t="shared" si="124"/>
        <v>DriveAnon's 4chan Drive/2. EVERYONE ELSE'S JUMPS/3. Series/Final Fantasy</v>
      </c>
    </row>
    <row r="588">
      <c r="A588" s="12" t="str">
        <f>HYPERLINK("https://drive.google.com/file/d/1SenFuONai4zvYyK9zh2MPxN77TuPtR42/view?usp=drivesdk","Chocobo Dungeon JumpChain.pdf")</f>
        <v>Chocobo Dungeon JumpChain.pdf</v>
      </c>
      <c r="B588" s="12" t="str">
        <f t="shared" si="124"/>
        <v>DriveAnon's 4chan Drive/2. EVERYONE ELSE'S JUMPS/3. Series/Final Fantasy</v>
      </c>
    </row>
    <row r="589">
      <c r="A589" s="12" t="str">
        <f>HYPERLINK("https://drive.google.com/file/d/1BM1psJkHc5_ol80xO6aFJwYetuFEyBvt/view?usp=drivesdk","1 - Opening.png")</f>
        <v>1 - Opening.png</v>
      </c>
      <c r="B589" s="12" t="str">
        <f t="shared" ref="B589:B594" si="125">HYPERLINK("https://drive.google.com/drive/folders/1hYHOv6i_rUHoH0viBp1VW5XJXqZ-F9h3","DriveAnon's 4chan Drive/2. EVERYONE ELSE'S JUMPS/3. Series/Final Fantasy/Final Fantasy Tactics Advance")</f>
        <v>DriveAnon's 4chan Drive/2. EVERYONE ELSE'S JUMPS/3. Series/Final Fantasy/Final Fantasy Tactics Advance</v>
      </c>
    </row>
    <row r="590">
      <c r="A590" s="12" t="str">
        <f>HYPERLINK("https://drive.google.com/file/d/1LGjZDi_AmAiP8qq9uvpu8huKSDCsEQ-j/view?usp=drivesdk","5 - Items.png")</f>
        <v>5 - Items.png</v>
      </c>
      <c r="B590" s="12" t="str">
        <f t="shared" si="125"/>
        <v>DriveAnon's 4chan Drive/2. EVERYONE ELSE'S JUMPS/3. Series/Final Fantasy/Final Fantasy Tactics Advance</v>
      </c>
    </row>
    <row r="591">
      <c r="A591" s="12" t="str">
        <f>HYPERLINK("https://drive.google.com/file/d/1lBSqvWbHrfCcRSJy1PvKytCa79iUXzka/view?usp=drivesdk","6 - Future.png")</f>
        <v>6 - Future.png</v>
      </c>
      <c r="B591" s="12" t="str">
        <f t="shared" si="125"/>
        <v>DriveAnon's 4chan Drive/2. EVERYONE ELSE'S JUMPS/3. Series/Final Fantasy/Final Fantasy Tactics Advance</v>
      </c>
    </row>
    <row r="592">
      <c r="A592" s="12" t="str">
        <f>HYPERLINK("https://drive.google.com/file/d/1qdSEdZ-g-R0S5fW4mdUK5aay37x_cUrj/view?usp=drivesdk","2 - Races.png")</f>
        <v>2 - Races.png</v>
      </c>
      <c r="B592" s="12" t="str">
        <f t="shared" si="125"/>
        <v>DriveAnon's 4chan Drive/2. EVERYONE ELSE'S JUMPS/3. Series/Final Fantasy/Final Fantasy Tactics Advance</v>
      </c>
    </row>
    <row r="593">
      <c r="A593" s="12" t="str">
        <f>HYPERLINK("https://drive.google.com/file/d/1xCBr6nHicsJ7HQ-zpV61Z2CWGqWEjc78/view?usp=drivesdk","4- Abilities.png")</f>
        <v>4- Abilities.png</v>
      </c>
      <c r="B593" s="12" t="str">
        <f t="shared" si="125"/>
        <v>DriveAnon's 4chan Drive/2. EVERYONE ELSE'S JUMPS/3. Series/Final Fantasy/Final Fantasy Tactics Advance</v>
      </c>
    </row>
    <row r="594">
      <c r="A594" s="12" t="str">
        <f>HYPERLINK("https://drive.google.com/file/d/1xaNNS9Oz6lPYddbifM2PU8NGg0NTl-8q/view?usp=drivesdk","3 - Jobs List.png")</f>
        <v>3 - Jobs List.png</v>
      </c>
      <c r="B594" s="12" t="str">
        <f t="shared" si="125"/>
        <v>DriveAnon's 4chan Drive/2. EVERYONE ELSE'S JUMPS/3. Series/Final Fantasy/Final Fantasy Tactics Advance</v>
      </c>
    </row>
    <row r="595">
      <c r="A595" s="12" t="str">
        <f>HYPERLINK("https://drive.google.com/file/d/1-flxXmtjnaGIHRgXh2CbJmvSonlJ4Yf1/view?usp=drivesdk","FFTA (Fluff-less).pdf")</f>
        <v>FFTA (Fluff-less).pdf</v>
      </c>
      <c r="B595" s="12" t="str">
        <f t="shared" ref="B595:B602" si="126">HYPERLINK("https://drive.google.com/drive/folders/1rurgUg0JVAYB5HYbyZTjfFaw7gVWTjlv","DriveAnon's 4chan Drive/2. EVERYONE ELSE'S JUMPS/3. Series/Final Fantasy/Final Fantasy Tactics Advance/Old Versions")</f>
        <v>DriveAnon's 4chan Drive/2. EVERYONE ELSE'S JUMPS/3. Series/Final Fantasy/Final Fantasy Tactics Advance/Old Versions</v>
      </c>
    </row>
    <row r="596">
      <c r="A596" s="12" t="str">
        <f>HYPERLINK("https://drive.google.com/file/d/1MKJV0W71u-zH6s1xmcfiuzVfmvuhaoGE/view?usp=drivesdk","FFTA Races.png")</f>
        <v>FFTA Races.png</v>
      </c>
      <c r="B596" s="12" t="str">
        <f t="shared" si="126"/>
        <v>DriveAnon's 4chan Drive/2. EVERYONE ELSE'S JUMPS/3. Series/Final Fantasy/Final Fantasy Tactics Advance/Old Versions</v>
      </c>
    </row>
    <row r="597">
      <c r="A597" s="12" t="str">
        <f>HYPERLINK("https://drive.google.com/file/d/1PwhWOucu9-o6ZEZWFQ7_6KiSxao5E4WA/view?usp=drivesdk","FFTA Opening.png")</f>
        <v>FFTA Opening.png</v>
      </c>
      <c r="B597" s="12" t="str">
        <f t="shared" si="126"/>
        <v>DriveAnon's 4chan Drive/2. EVERYONE ELSE'S JUMPS/3. Series/Final Fantasy/Final Fantasy Tactics Advance/Old Versions</v>
      </c>
    </row>
    <row r="598">
      <c r="A598" s="12" t="str">
        <f>HYPERLINK("https://drive.google.com/file/d/1TS5DCiPjzmv7B-IILc4TsOVbQYO8HM1S/view?usp=drivesdk","FFTA Endpage.png")</f>
        <v>FFTA Endpage.png</v>
      </c>
      <c r="B598" s="12" t="str">
        <f t="shared" si="126"/>
        <v>DriveAnon's 4chan Drive/2. EVERYONE ELSE'S JUMPS/3. Series/Final Fantasy/Final Fantasy Tactics Advance/Old Versions</v>
      </c>
    </row>
    <row r="599">
      <c r="A599" s="12" t="str">
        <f>HYPERLINK("https://drive.google.com/file/d/1dnyqTmLV2dpB5SIVvF8hHzQ30Q1RNIZP/view?usp=drivesdk","FFTA (Text only, early version).pdf")</f>
        <v>FFTA (Text only, early version).pdf</v>
      </c>
      <c r="B599" s="12" t="str">
        <f t="shared" si="126"/>
        <v>DriveAnon's 4chan Drive/2. EVERYONE ELSE'S JUMPS/3. Series/Final Fantasy/Final Fantasy Tactics Advance/Old Versions</v>
      </c>
    </row>
    <row r="600">
      <c r="A600" s="12" t="str">
        <f>HYPERLINK("https://drive.google.com/file/d/1eoqVvwLFW3iXpagYYnYZYqTaXKQRp0II/view?usp=drivesdk","FFTA Abilities Page.png")</f>
        <v>FFTA Abilities Page.png</v>
      </c>
      <c r="B600" s="12" t="str">
        <f t="shared" si="126"/>
        <v>DriveAnon's 4chan Drive/2. EVERYONE ELSE'S JUMPS/3. Series/Final Fantasy/Final Fantasy Tactics Advance/Old Versions</v>
      </c>
    </row>
    <row r="601">
      <c r="A601" s="12" t="str">
        <f>HYPERLINK("https://drive.google.com/file/d/1jX310t4Ydu44SWthsWWsgw0zDerQzzQA/view?usp=drivesdk","Final Fantasy Tactics Advance.pdf")</f>
        <v>Final Fantasy Tactics Advance.pdf</v>
      </c>
      <c r="B601" s="12" t="str">
        <f t="shared" si="126"/>
        <v>DriveAnon's 4chan Drive/2. EVERYONE ELSE'S JUMPS/3. Series/Final Fantasy/Final Fantasy Tactics Advance/Old Versions</v>
      </c>
    </row>
    <row r="602">
      <c r="A602" s="12" t="str">
        <f>HYPERLINK("https://drive.google.com/file/d/1moeH3btNOdMqIky6U8D6egKlPVmHXAk9/view?usp=drivesdk","FFTA Item Page.png")</f>
        <v>FFTA Item Page.png</v>
      </c>
      <c r="B602" s="12" t="str">
        <f t="shared" si="126"/>
        <v>DriveAnon's 4chan Drive/2. EVERYONE ELSE'S JUMPS/3. Series/Final Fantasy/Final Fantasy Tactics Advance/Old Versions</v>
      </c>
    </row>
    <row r="603">
      <c r="A603" s="12" t="str">
        <f>HYPERLINK("https://drive.google.com/file/d/1bDFUKnpnIGmI6I-Xl6X70WskIs9-wB1b/view?usp=drivesdk","Sunless Sea JumpChain.pdf")</f>
        <v>Sunless Sea JumpChain.pdf</v>
      </c>
      <c r="B603" s="12" t="str">
        <f t="shared" ref="B603:B605" si="127">HYPERLINK("https://drive.google.com/drive/folders/1JoC1-NfR-WiHuIDWuCuSNa806g36n0ty","DriveAnon's 4chan Drive/2. EVERYONE ELSE'S JUMPS/3. Series/Fallen London")</f>
        <v>DriveAnon's 4chan Drive/2. EVERYONE ELSE'S JUMPS/3. Series/Fallen London</v>
      </c>
    </row>
    <row r="604">
      <c r="A604" s="12" t="str">
        <f>HYPERLINK("https://drive.google.com/file/d/1ZucNKB1HWLW7bFUPAB6snccwCshuzjYF/view?usp=drivesdk","Fallen London Jumpchain.pdf")</f>
        <v>Fallen London Jumpchain.pdf</v>
      </c>
      <c r="B604" s="12" t="str">
        <f t="shared" si="127"/>
        <v>DriveAnon's 4chan Drive/2. EVERYONE ELSE'S JUMPS/3. Series/Fallen London</v>
      </c>
    </row>
    <row r="605">
      <c r="A605" s="12" t="str">
        <f>HYPERLINK("https://drive.google.com/file/d/1GktmNLfsPd6UUDsNN8O9cmxjfu72P2On/view?usp=drivesdk","Sunless Skies JumpChain.pdf")</f>
        <v>Sunless Skies JumpChain.pdf</v>
      </c>
      <c r="B605" s="12" t="str">
        <f t="shared" si="127"/>
        <v>DriveAnon's 4chan Drive/2. EVERYONE ELSE'S JUMPS/3. Series/Fallen London</v>
      </c>
    </row>
    <row r="606">
      <c r="A606" s="12" t="str">
        <f>HYPERLINK("https://drive.google.com/file/d/1KysZKcZwFoO6uEBvbFRYwupvBFdZfvrR/view?usp=drivesdk","Fire Emblem Heroes, Book 1 (By BLADE, Imaged Version).pdf")</f>
        <v>Fire Emblem Heroes, Book 1 (By BLADE, Imaged Version).pdf</v>
      </c>
      <c r="B606" s="12" t="str">
        <f t="shared" ref="B606:B619" si="128">HYPERLINK("https://drive.google.com/drive/folders/1QBtMefs5Zr51qf29zOjH55iYvRt5vnD2","DriveAnon's 4chan Drive/2. EVERYONE ELSE'S JUMPS/3. Series/Fire Emblem")</f>
        <v>DriveAnon's 4chan Drive/2. EVERYONE ELSE'S JUMPS/3. Series/Fire Emblem</v>
      </c>
    </row>
    <row r="607">
      <c r="A607" s="12" t="str">
        <f>HYPERLINK("https://drive.google.com/file/d/1wrQ7a9iYPAOq-cs1OZL3t2vwpevEUrIp/view?usp=drivesdk","Fire Emblem Three Houses.pdf")</f>
        <v>Fire Emblem Three Houses.pdf</v>
      </c>
      <c r="B607" s="12" t="str">
        <f t="shared" si="128"/>
        <v>DriveAnon's 4chan Drive/2. EVERYONE ELSE'S JUMPS/3. Series/Fire Emblem</v>
      </c>
    </row>
    <row r="608">
      <c r="A608" s="12" t="str">
        <f>HYPERLINK("https://drive.google.com/file/d/1BbzqnWzGPGYYggRVEMNSV2vE3tsHd1bX/view?usp=drivesdk","Fire Emblem Heroes, Book 3 (By Blade).pdf")</f>
        <v>Fire Emblem Heroes, Book 3 (By Blade).pdf</v>
      </c>
      <c r="B608" s="12" t="str">
        <f t="shared" si="128"/>
        <v>DriveAnon's 4chan Drive/2. EVERYONE ELSE'S JUMPS/3. Series/Fire Emblem</v>
      </c>
    </row>
    <row r="609">
      <c r="A609" s="12" t="str">
        <f>HYPERLINK("https://drive.google.com/file/d/1sExIce3sJVDbF3pOI4QLwt4uSbVwFhrV/view?usp=drivesdk","Fire Emblem Heroes, Book 1 (By Blade).pdf")</f>
        <v>Fire Emblem Heroes, Book 1 (By Blade).pdf</v>
      </c>
      <c r="B609" s="12" t="str">
        <f t="shared" si="128"/>
        <v>DriveAnon's 4chan Drive/2. EVERYONE ELSE'S JUMPS/3. Series/Fire Emblem</v>
      </c>
    </row>
    <row r="610">
      <c r="A610" s="12" t="str">
        <f>HYPERLINK("https://drive.google.com/file/d/1yZAtSwCSAq0k1lHWLbXOaJukkku_69jR/view?usp=drivesdk","Fire Emblem Heroes, Book 4 (By Blade).pdf")</f>
        <v>Fire Emblem Heroes, Book 4 (By Blade).pdf</v>
      </c>
      <c r="B610" s="12" t="str">
        <f t="shared" si="128"/>
        <v>DriveAnon's 4chan Drive/2. EVERYONE ELSE'S JUMPS/3. Series/Fire Emblem</v>
      </c>
    </row>
    <row r="611">
      <c r="A611" s="12" t="str">
        <f>HYPERLINK("https://drive.google.com/file/d/18pE9U0uHDHhPwb2gFC-iBYEjlCdmYtuA/view?usp=drivesdk","Fire Emblem Heroes, Book 2 (By Blade).pdf")</f>
        <v>Fire Emblem Heroes, Book 2 (By Blade).pdf</v>
      </c>
      <c r="B611" s="12" t="str">
        <f t="shared" si="128"/>
        <v>DriveAnon's 4chan Drive/2. EVERYONE ELSE'S JUMPS/3. Series/Fire Emblem</v>
      </c>
    </row>
    <row r="612">
      <c r="A612" s="12" t="str">
        <f>HYPERLINK("https://drive.google.com/file/d/1-7WuTnxc-WnIeuWqYd6k0zv297OlGPW8/view?usp=drivesdk","Fire Emblem Archanea JumpChain.pdf")</f>
        <v>Fire Emblem Archanea JumpChain.pdf</v>
      </c>
      <c r="B612" s="12" t="str">
        <f t="shared" si="128"/>
        <v>DriveAnon's 4chan Drive/2. EVERYONE ELSE'S JUMPS/3. Series/Fire Emblem</v>
      </c>
    </row>
    <row r="613">
      <c r="A613" s="12" t="str">
        <f>HYPERLINK("https://drive.google.com/file/d/1OAiN5mZhaDR8rFf0pxfgO82buDRZ0gPz/view?usp=drivesdk","Fire Emblem - Tellius JumpChain.pdf")</f>
        <v>Fire Emblem - Tellius JumpChain.pdf</v>
      </c>
      <c r="B613" s="12" t="str">
        <f t="shared" si="128"/>
        <v>DriveAnon's 4chan Drive/2. EVERYONE ELSE'S JUMPS/3. Series/Fire Emblem</v>
      </c>
    </row>
    <row r="614">
      <c r="A614" s="12" t="str">
        <f>HYPERLINK("https://drive.google.com/file/d/1xjO8UnaKoAG1rTyJM4KCditPH86-Fvd2/view?usp=drivesdk","Fire Emblem Fates JumpChain.pdf")</f>
        <v>Fire Emblem Fates JumpChain.pdf</v>
      </c>
      <c r="B614" s="12" t="str">
        <f t="shared" si="128"/>
        <v>DriveAnon's 4chan Drive/2. EVERYONE ELSE'S JUMPS/3. Series/Fire Emblem</v>
      </c>
    </row>
    <row r="615">
      <c r="A615" s="12" t="str">
        <f>HYPERLINK("https://drive.google.com/file/d/1FjbMelrgja_0zMBD0a5Q_QUkOZzsjTe8/view?usp=drivesdk","Fire Emblem Awakening JumpChain.pdf")</f>
        <v>Fire Emblem Awakening JumpChain.pdf</v>
      </c>
      <c r="B615" s="12" t="str">
        <f t="shared" si="128"/>
        <v>DriveAnon's 4chan Drive/2. EVERYONE ELSE'S JUMPS/3. Series/Fire Emblem</v>
      </c>
    </row>
    <row r="616">
      <c r="A616" s="12" t="str">
        <f>HYPERLINK("https://drive.google.com/file/d/1RKm8f7OjCFOTqoPRACy0qkvJyAh8PRTk/view?usp=drivesdk","Fire Emblem Elibe  JumpChain.pdf")</f>
        <v>Fire Emblem Elibe  JumpChain.pdf</v>
      </c>
      <c r="B616" s="12" t="str">
        <f t="shared" si="128"/>
        <v>DriveAnon's 4chan Drive/2. EVERYONE ELSE'S JUMPS/3. Series/Fire Emblem</v>
      </c>
    </row>
    <row r="617">
      <c r="A617" s="12" t="str">
        <f>HYPERLINK("https://drive.google.com/file/d/1ZECAjkKv7I7_cYAwqCAP6VqLv8PnJ0QT/view?usp=drivesdk","Fire Emblem Heroes JumpChain.pdf")</f>
        <v>Fire Emblem Heroes JumpChain.pdf</v>
      </c>
      <c r="B617" s="12" t="str">
        <f t="shared" si="128"/>
        <v>DriveAnon's 4chan Drive/2. EVERYONE ELSE'S JUMPS/3. Series/Fire Emblem</v>
      </c>
    </row>
    <row r="618">
      <c r="A618" s="12" t="str">
        <f>HYPERLINK("https://drive.google.com/file/d/1f6Lig1SbsQQBry75GLtRYwGyeUgd-Dhn/view?usp=drivesdk","Fire Emblem Valentia JumpChain.pdf")</f>
        <v>Fire Emblem Valentia JumpChain.pdf</v>
      </c>
      <c r="B618" s="12" t="str">
        <f t="shared" si="128"/>
        <v>DriveAnon's 4chan Drive/2. EVERYONE ELSE'S JUMPS/3. Series/Fire Emblem</v>
      </c>
    </row>
    <row r="619">
      <c r="A619" s="12" t="str">
        <f>HYPERLINK("https://drive.google.com/file/d/1hEjzlCtxjjeS8W3FcMcu0zTrUJjn2mPq/view?usp=drivesdk","Fire Emblem- Geneology of the Holy War JumpChain (1).pdf")</f>
        <v>Fire Emblem- Geneology of the Holy War JumpChain (1).pdf</v>
      </c>
      <c r="B619" s="12" t="str">
        <f t="shared" si="128"/>
        <v>DriveAnon's 4chan Drive/2. EVERYONE ELSE'S JUMPS/3. Series/Fire Emblem</v>
      </c>
    </row>
    <row r="620">
      <c r="A620" s="12" t="str">
        <f>HYPERLINK("https://drive.google.com/file/d/1Whq2U3PMhnE_GSOVDrjQjfTVTMcvcZfH/view?usp=drivesdk","Fire Emblem Page 5 Updated.png")</f>
        <v>Fire Emblem Page 5 Updated.png</v>
      </c>
      <c r="B620" s="12" t="str">
        <f t="shared" ref="B620:B622" si="129">HYPERLINK("https://drive.google.com/drive/folders/1voTLIWzI3CgiyhsnJKRFY8u2o8JtSNxv","DriveAnon's 4chan Drive/2. EVERYONE ELSE'S JUMPS/3. Series/Fire Emblem/Fire Emblem")</f>
        <v>DriveAnon's 4chan Drive/2. EVERYONE ELSE'S JUMPS/3. Series/Fire Emblem/Fire Emblem</v>
      </c>
    </row>
    <row r="621">
      <c r="A621" s="12" t="str">
        <f>HYPERLINK("https://drive.google.com/file/d/1k4GYe9wPXlHAMO41BjJR0IJcfBqwOTGY/view?usp=drivesdk","Fire Emblem Page 4 Updated.png")</f>
        <v>Fire Emblem Page 4 Updated.png</v>
      </c>
      <c r="B621" s="12" t="str">
        <f t="shared" si="129"/>
        <v>DriveAnon's 4chan Drive/2. EVERYONE ELSE'S JUMPS/3. Series/Fire Emblem/Fire Emblem</v>
      </c>
    </row>
    <row r="622">
      <c r="A622" s="12" t="str">
        <f>HYPERLINK("https://drive.google.com/file/d/1wCjxFVXn4REUSiBTJe48dWcgiM2i3jhr/view?usp=drivesdk","Fire Emblem.pdf")</f>
        <v>Fire Emblem.pdf</v>
      </c>
      <c r="B622" s="12" t="str">
        <f t="shared" si="129"/>
        <v>DriveAnon's 4chan Drive/2. EVERYONE ELSE'S JUMPS/3. Series/Fire Emblem/Fire Emblem</v>
      </c>
    </row>
    <row r="623">
      <c r="A623" s="12" t="str">
        <f>HYPERLINK("https://drive.google.com/file/d/1g6aOwUdeXD9HO3eC_sgqA3FBo8g6UuU1/view?usp=drivesdk","GemCraft - Frostborn Wrath JumpChain.pdf")</f>
        <v>GemCraft - Frostborn Wrath JumpChain.pdf</v>
      </c>
      <c r="B623" s="12" t="str">
        <f t="shared" ref="B623:B624" si="130">HYPERLINK("https://drive.google.com/drive/folders/1W3IruXZJh8GkKheEOXelbvLzjd9goSYF","DriveAnon's 4chan Drive/2. EVERYONE ELSE'S JUMPS/3. Series/Gemcraft")</f>
        <v>DriveAnon's 4chan Drive/2. EVERYONE ELSE'S JUMPS/3. Series/Gemcraft</v>
      </c>
    </row>
    <row r="624">
      <c r="A624" s="12" t="str">
        <f>HYPERLINK("https://drive.google.com/file/d/1h3LkVIsaZL_d3P04J6zuD-3Su83-SWSE/view?usp=drivesdk","GemCraft - Chasing Shadows JumpChain.pdf")</f>
        <v>GemCraft - Chasing Shadows JumpChain.pdf</v>
      </c>
      <c r="B624" s="12" t="str">
        <f t="shared" si="130"/>
        <v>DriveAnon's 4chan Drive/2. EVERYONE ELSE'S JUMPS/3. Series/Gemcraft</v>
      </c>
    </row>
    <row r="625">
      <c r="A625" s="12" t="str">
        <f>HYPERLINK("https://drive.google.com/file/d/18DPvsFUbuTxrjVeD6rBkHmuiAPhgGBlu/view?usp=drivesdk","GodHandPage5.png")</f>
        <v>GodHandPage5.png</v>
      </c>
      <c r="B625" s="12" t="str">
        <f t="shared" ref="B625:B637" si="131">HYPERLINK("https://drive.google.com/drive/folders/1i1IjtiLLrW3pJZX0VTq_UybrE26adn2W","DriveAnon's 4chan Drive/2. EVERYONE ELSE'S JUMPS/3. Series/God Hand")</f>
        <v>DriveAnon's 4chan Drive/2. EVERYONE ELSE'S JUMPS/3. Series/God Hand</v>
      </c>
    </row>
    <row r="626">
      <c r="A626" s="12" t="str">
        <f>HYPERLINK("https://drive.google.com/file/d/1B7z4jDjwf32LdUZNFm1icK4S_sEOO0Lf/view?usp=drivesdk","GodHandPage9.png")</f>
        <v>GodHandPage9.png</v>
      </c>
      <c r="B626" s="12" t="str">
        <f t="shared" si="131"/>
        <v>DriveAnon's 4chan Drive/2. EVERYONE ELSE'S JUMPS/3. Series/God Hand</v>
      </c>
    </row>
    <row r="627">
      <c r="A627" s="12" t="str">
        <f>HYPERLINK("https://drive.google.com/file/d/1MhxTBJPuB1-KXqBijf9BpYEpvh_vlvVY/view?usp=drivesdk","GodHandFullJump(LooksBad).pdf")</f>
        <v>GodHandFullJump(LooksBad).pdf</v>
      </c>
      <c r="B627" s="12" t="str">
        <f t="shared" si="131"/>
        <v>DriveAnon's 4chan Drive/2. EVERYONE ELSE'S JUMPS/3. Series/God Hand</v>
      </c>
    </row>
    <row r="628">
      <c r="A628" s="12" t="str">
        <f>HYPERLINK("https://drive.google.com/file/d/1NYPSk8Xu-Q_cOnz19ehKiZcrzEGozkmO/view?usp=drivesdk","GodHandPage8.png")</f>
        <v>GodHandPage8.png</v>
      </c>
      <c r="B628" s="12" t="str">
        <f t="shared" si="131"/>
        <v>DriveAnon's 4chan Drive/2. EVERYONE ELSE'S JUMPS/3. Series/God Hand</v>
      </c>
    </row>
    <row r="629">
      <c r="A629" s="12" t="str">
        <f>HYPERLINK("https://drive.google.com/file/d/1NlsrlgfE4HXuIdAVlS13bfK0dL8SeCGS/view?usp=drivesdk","GodHandPage3.png")</f>
        <v>GodHandPage3.png</v>
      </c>
      <c r="B629" s="12" t="str">
        <f t="shared" si="131"/>
        <v>DriveAnon's 4chan Drive/2. EVERYONE ELSE'S JUMPS/3. Series/God Hand</v>
      </c>
    </row>
    <row r="630">
      <c r="A630" s="12" t="str">
        <f>HYPERLINK("https://drive.google.com/file/d/1_-CfX1wmISIr15D-ccKCXDBb4MnBq5Mo/view?usp=drivesdk","GodHandPage10.png")</f>
        <v>GodHandPage10.png</v>
      </c>
      <c r="B630" s="12" t="str">
        <f t="shared" si="131"/>
        <v>DriveAnon's 4chan Drive/2. EVERYONE ELSE'S JUMPS/3. Series/God Hand</v>
      </c>
    </row>
    <row r="631">
      <c r="A631" s="12" t="str">
        <f>HYPERLINK("https://drive.google.com/file/d/1bv17MXxUXqC84M9rYmcBH_AfTofK1MiX/view?usp=drivesdk","GodHandPage1.png")</f>
        <v>GodHandPage1.png</v>
      </c>
      <c r="B631" s="12" t="str">
        <f t="shared" si="131"/>
        <v>DriveAnon's 4chan Drive/2. EVERYONE ELSE'S JUMPS/3. Series/God Hand</v>
      </c>
    </row>
    <row r="632">
      <c r="A632" s="12" t="str">
        <f>HYPERLINK("https://drive.google.com/file/d/1eCJ0zfxbLkRQd4374tKI0pzzfvmi6hi_/view?usp=drivesdk","GodHandPage7.png")</f>
        <v>GodHandPage7.png</v>
      </c>
      <c r="B632" s="12" t="str">
        <f t="shared" si="131"/>
        <v>DriveAnon's 4chan Drive/2. EVERYONE ELSE'S JUMPS/3. Series/God Hand</v>
      </c>
    </row>
    <row r="633">
      <c r="A633" s="12" t="str">
        <f>HYPERLINK("https://drive.google.com/file/d/1hEPNI4R1pMouogB4smLHpISlHdPBbqy-/view?usp=drivesdk","GodHandPage4.png")</f>
        <v>GodHandPage4.png</v>
      </c>
      <c r="B633" s="12" t="str">
        <f t="shared" si="131"/>
        <v>DriveAnon's 4chan Drive/2. EVERYONE ELSE'S JUMPS/3. Series/God Hand</v>
      </c>
    </row>
    <row r="634">
      <c r="A634" s="12" t="str">
        <f>HYPERLINK("https://drive.google.com/file/d/1s2MI8ZCKbCEcCLIo5TWOLepXz2j4J3Ps/view?usp=drivesdk","GodHandPage11.png")</f>
        <v>GodHandPage11.png</v>
      </c>
      <c r="B634" s="12" t="str">
        <f t="shared" si="131"/>
        <v>DriveAnon's 4chan Drive/2. EVERYONE ELSE'S JUMPS/3. Series/God Hand</v>
      </c>
    </row>
    <row r="635">
      <c r="A635" s="12" t="str">
        <f>HYPERLINK("https://drive.google.com/file/d/1vti8RPGx4aavGLsmWLFVbz_y9gvcCE1W/view?usp=drivesdk","GodHandPage6.png")</f>
        <v>GodHandPage6.png</v>
      </c>
      <c r="B635" s="12" t="str">
        <f t="shared" si="131"/>
        <v>DriveAnon's 4chan Drive/2. EVERYONE ELSE'S JUMPS/3. Series/God Hand</v>
      </c>
    </row>
    <row r="636">
      <c r="A636" s="12" t="str">
        <f>HYPERLINK("https://drive.google.com/file/d/1Mqlec8oTdgTdeIy0BYusUXxcOVeXwHwT/view?usp=drivesdk","GodHandPage12.png")</f>
        <v>GodHandPage12.png</v>
      </c>
      <c r="B636" s="12" t="str">
        <f t="shared" si="131"/>
        <v>DriveAnon's 4chan Drive/2. EVERYONE ELSE'S JUMPS/3. Series/God Hand</v>
      </c>
    </row>
    <row r="637">
      <c r="A637" s="12" t="str">
        <f>HYPERLINK("https://drive.google.com/file/d/1wUY0A-qsThVyrcTPesfzSlQLBkRFgAhQ/view?usp=drivesdk","GodHandJumpPage2.png")</f>
        <v>GodHandJumpPage2.png</v>
      </c>
      <c r="B637" s="12" t="str">
        <f t="shared" si="131"/>
        <v>DriveAnon's 4chan Drive/2. EVERYONE ELSE'S JUMPS/3. Series/God Hand</v>
      </c>
    </row>
    <row r="638">
      <c r="A638" s="12" t="str">
        <f>HYPERLINK("https://drive.google.com/file/d/10dfYzDxpn3Wy7dbzoDWMdwtk0wABMi3Y/view?usp=drivesdk","Generic Korean Portal Invasion.pdf")</f>
        <v>Generic Korean Portal Invasion.pdf</v>
      </c>
      <c r="B638" s="12" t="str">
        <f t="shared" ref="B638:B665" si="132">HYPERLINK("https://drive.google.com/drive/folders/1pfm8kXLzs9cq3DMsEOGAcNmzUKbBXpGD","DriveAnon's 4chan Drive/2. EVERYONE ELSE'S JUMPS/3. Series/Generic _Fill in the Blank_ Jumps")</f>
        <v>DriveAnon's 4chan Drive/2. EVERYONE ELSE'S JUMPS/3. Series/Generic _Fill in the Blank_ Jumps</v>
      </c>
    </row>
    <row r="639">
      <c r="A639" s="12" t="str">
        <f>HYPERLINK("https://drive.google.com/file/d/19mXZJ0-rLcTGLlNNg0eE-osPeWcWriyr/view?usp=drivesdk","Generic Zombie Apocalypse Jump (High Quality).pdf")</f>
        <v>Generic Zombie Apocalypse Jump (High Quality).pdf</v>
      </c>
      <c r="B639" s="12" t="str">
        <f t="shared" si="132"/>
        <v>DriveAnon's 4chan Drive/2. EVERYONE ELSE'S JUMPS/3. Series/Generic _Fill in the Blank_ Jumps</v>
      </c>
    </row>
    <row r="640">
      <c r="A640" s="12" t="str">
        <f>HYPERLINK("https://drive.google.com/file/d/14xStKo6fIwlSsadJf3slj8wASEsGjxy3/view?usp=drivesdk","Generic 80s cartoon - JumpChain.pdf")</f>
        <v>Generic 80s cartoon - JumpChain.pdf</v>
      </c>
      <c r="B640" s="12" t="str">
        <f t="shared" si="132"/>
        <v>DriveAnon's 4chan Drive/2. EVERYONE ELSE'S JUMPS/3. Series/Generic _Fill in the Blank_ Jumps</v>
      </c>
    </row>
    <row r="641">
      <c r="A641" s="12" t="str">
        <f>HYPERLINK("https://drive.google.com/file/d/15ta9r_-jkKeivhAEMd5dVxc_YtdIvLV6/view?usp=drivesdk","Generic Medical Drama JumpChain.pdf")</f>
        <v>Generic Medical Drama JumpChain.pdf</v>
      </c>
      <c r="B641" s="12" t="str">
        <f t="shared" si="132"/>
        <v>DriveAnon's 4chan Drive/2. EVERYONE ELSE'S JUMPS/3. Series/Generic _Fill in the Blank_ Jumps</v>
      </c>
    </row>
    <row r="642">
      <c r="A642" s="12" t="str">
        <f>HYPERLINK("https://drive.google.com/file/d/1Cl2rQGUQFMNRqWYpN6LEKH1aP9G9jDYf/view?usp=drivesdk","Generic Sugar Bowl JumpChain.pdf")</f>
        <v>Generic Sugar Bowl JumpChain.pdf</v>
      </c>
      <c r="B642" s="12" t="str">
        <f t="shared" si="132"/>
        <v>DriveAnon's 4chan Drive/2. EVERYONE ELSE'S JUMPS/3. Series/Generic _Fill in the Blank_ Jumps</v>
      </c>
    </row>
    <row r="643">
      <c r="A643" s="12" t="str">
        <f>HYPERLINK("https://drive.google.com/file/d/1DRLa0yHCjjtvO9uC0Wpr5EFdAgPk0ECd/view?usp=drivesdk","Generic Cartoon World JumpChain.pdf")</f>
        <v>Generic Cartoon World JumpChain.pdf</v>
      </c>
      <c r="B643" s="12" t="str">
        <f t="shared" si="132"/>
        <v>DriveAnon's 4chan Drive/2. EVERYONE ELSE'S JUMPS/3. Series/Generic _Fill in the Blank_ Jumps</v>
      </c>
    </row>
    <row r="644">
      <c r="A644" s="12" t="str">
        <f>HYPERLINK("https://drive.google.com/file/d/1HkrZML8gQp-1_XB7l4OsNrPK3leu2574/view?usp=drivesdk","Generic Western JumpChain.pdf")</f>
        <v>Generic Western JumpChain.pdf</v>
      </c>
      <c r="B644" s="12" t="str">
        <f t="shared" si="132"/>
        <v>DriveAnon's 4chan Drive/2. EVERYONE ELSE'S JUMPS/3. Series/Generic _Fill in the Blank_ Jumps</v>
      </c>
    </row>
    <row r="645">
      <c r="A645" s="12" t="str">
        <f>HYPERLINK("https://drive.google.com/file/d/1KJ8rsqq9TvASiu9McWvO9JG_ILjB0bkG/view?usp=drivesdk","Generic Isekai JumpChain.pdf")</f>
        <v>Generic Isekai JumpChain.pdf</v>
      </c>
      <c r="B645" s="12" t="str">
        <f t="shared" si="132"/>
        <v>DriveAnon's 4chan Drive/2. EVERYONE ELSE'S JUMPS/3. Series/Generic _Fill in the Blank_ Jumps</v>
      </c>
    </row>
    <row r="646">
      <c r="A646" s="12" t="str">
        <f>HYPERLINK("https://drive.google.com/file/d/1LzkyBQ59Bn4bQK-gUI9KVyw3PkxAynkp/view?usp=drivesdk","Generic Videogame Developer Jumpchain.pdf")</f>
        <v>Generic Videogame Developer Jumpchain.pdf</v>
      </c>
      <c r="B646" s="12" t="str">
        <f t="shared" si="132"/>
        <v>DriveAnon's 4chan Drive/2. EVERYONE ELSE'S JUMPS/3. Series/Generic _Fill in the Blank_ Jumps</v>
      </c>
    </row>
    <row r="647">
      <c r="A647" s="12" t="str">
        <f>HYPERLINK("https://drive.google.com/file/d/1MJKbV_zs8EKOgkV5NUiY6RAPvVfEgwho/view?usp=drivesdk","Generic Parenting JumpChain.pdf")</f>
        <v>Generic Parenting JumpChain.pdf</v>
      </c>
      <c r="B647" s="12" t="str">
        <f t="shared" si="132"/>
        <v>DriveAnon's 4chan Drive/2. EVERYONE ELSE'S JUMPS/3. Series/Generic _Fill in the Blank_ Jumps</v>
      </c>
    </row>
    <row r="648">
      <c r="A648" s="12" t="str">
        <f>HYPERLINK("https://drive.google.com/file/d/1NIlobGDClsVPvafnQZycIDWYDrUMynzS/view?usp=drivesdk","Generic Magical Girl JumpChain.pdf")</f>
        <v>Generic Magical Girl JumpChain.pdf</v>
      </c>
      <c r="B648" s="12" t="str">
        <f t="shared" si="132"/>
        <v>DriveAnon's 4chan Drive/2. EVERYONE ELSE'S JUMPS/3. Series/Generic _Fill in the Blank_ Jumps</v>
      </c>
    </row>
    <row r="649">
      <c r="A649" s="12" t="str">
        <f>HYPERLINK("https://drive.google.com/file/d/1UfqNM-bJKIP69thqHf0JE3V_MMERcD1x/view?usp=drivesdk","Generic Fighting Game JumpChain.pdf")</f>
        <v>Generic Fighting Game JumpChain.pdf</v>
      </c>
      <c r="B649" s="12" t="str">
        <f t="shared" si="132"/>
        <v>DriveAnon's 4chan Drive/2. EVERYONE ELSE'S JUMPS/3. Series/Generic _Fill in the Blank_ Jumps</v>
      </c>
    </row>
    <row r="650">
      <c r="A650" s="12" t="str">
        <f>HYPERLINK("https://drive.google.com/file/d/1Ur2iYbkTN1yMx1s35KzJaxHpkUDn8Xbk/view?usp=drivesdk","Generic Fairy Tale-JumpChain.pdf")</f>
        <v>Generic Fairy Tale-JumpChain.pdf</v>
      </c>
      <c r="B650" s="12" t="str">
        <f t="shared" si="132"/>
        <v>DriveAnon's 4chan Drive/2. EVERYONE ELSE'S JUMPS/3. Series/Generic _Fill in the Blank_ Jumps</v>
      </c>
    </row>
    <row r="651">
      <c r="A651" s="12" t="str">
        <f>HYPERLINK("https://drive.google.com/file/d/1W4kntMx_BttG1NWsFGccGYyPm3QCbNKT/view?usp=drivesdk","Cyberpunk JumpChain.pdf")</f>
        <v>Cyberpunk JumpChain.pdf</v>
      </c>
      <c r="B651" s="12" t="str">
        <f t="shared" si="132"/>
        <v>DriveAnon's 4chan Drive/2. EVERYONE ELSE'S JUMPS/3. Series/Generic _Fill in the Blank_ Jumps</v>
      </c>
    </row>
    <row r="652">
      <c r="A652" s="12" t="str">
        <f>HYPERLINK("https://drive.google.com/file/d/1__0YXuCTMc_rbPr7XHROcj_hUViGoJhl/view?usp=drivesdk","Generic Post-Apocalypse JumpChain.pdf")</f>
        <v>Generic Post-Apocalypse JumpChain.pdf</v>
      </c>
      <c r="B652" s="12" t="str">
        <f t="shared" si="132"/>
        <v>DriveAnon's 4chan Drive/2. EVERYONE ELSE'S JUMPS/3. Series/Generic _Fill in the Blank_ Jumps</v>
      </c>
    </row>
    <row r="653">
      <c r="A653" s="12" t="str">
        <f>HYPERLINK("https://drive.google.com/file/d/1_gPTvngvz2cirdmscF1rSivIi1nh3gOy/view?usp=drivesdk","Generic Teacher JumpChain.pdf")</f>
        <v>Generic Teacher JumpChain.pdf</v>
      </c>
      <c r="B653" s="12" t="str">
        <f t="shared" si="132"/>
        <v>DriveAnon's 4chan Drive/2. EVERYONE ELSE'S JUMPS/3. Series/Generic _Fill in the Blank_ Jumps</v>
      </c>
    </row>
    <row r="654">
      <c r="A654" s="12" t="str">
        <f>HYPERLINK("https://drive.google.com/file/d/1cHp-jgNrxYgmtngcn736ezO6A8sV4_xK/view?usp=drivesdk","Generic Dungeon Crawl JumpChain.pdf")</f>
        <v>Generic Dungeon Crawl JumpChain.pdf</v>
      </c>
      <c r="B654" s="12" t="str">
        <f t="shared" si="132"/>
        <v>DriveAnon's 4chan Drive/2. EVERYONE ELSE'S JUMPS/3. Series/Generic _Fill in the Blank_ Jumps</v>
      </c>
    </row>
    <row r="655">
      <c r="A655" s="12" t="str">
        <f>HYPERLINK("https://drive.google.com/file/d/1czkQSzFKnFmaY8qMLMI3aEcVRgM9afTI/view?usp=drivesdk","Generic Xianxia JumpChain.pdf")</f>
        <v>Generic Xianxia JumpChain.pdf</v>
      </c>
      <c r="B655" s="12" t="str">
        <f t="shared" si="132"/>
        <v>DriveAnon's 4chan Drive/2. EVERYONE ELSE'S JUMPS/3. Series/Generic _Fill in the Blank_ Jumps</v>
      </c>
    </row>
    <row r="656">
      <c r="A656" s="12" t="str">
        <f>HYPERLINK("https://drive.google.com/file/d/1i1xS8cqz4VDytM5Dz8HbQ6EyN47v0d-C/view?usp=drivesdk","Generic Universal Monsters JumpChain.pdf")</f>
        <v>Generic Universal Monsters JumpChain.pdf</v>
      </c>
      <c r="B656" s="12" t="str">
        <f t="shared" si="132"/>
        <v>DriveAnon's 4chan Drive/2. EVERYONE ELSE'S JUMPS/3. Series/Generic _Fill in the Blank_ Jumps</v>
      </c>
    </row>
    <row r="657">
      <c r="A657" s="12" t="str">
        <f>HYPERLINK("https://drive.google.com/file/d/1iAAV_rxxoqalrpf2Z6wBtci0BSczyqC2/view?usp=drivesdk","Generic Dystopia JumpChain.pdf")</f>
        <v>Generic Dystopia JumpChain.pdf</v>
      </c>
      <c r="B657" s="12" t="str">
        <f t="shared" si="132"/>
        <v>DriveAnon's 4chan Drive/2. EVERYONE ELSE'S JUMPS/3. Series/Generic _Fill in the Blank_ Jumps</v>
      </c>
    </row>
    <row r="658">
      <c r="A658" s="12" t="str">
        <f>HYPERLINK("https://drive.google.com/file/d/1iJ-ZwlGTaoIjgqr63-M-AuKQA-eJNbxb/view?usp=drivesdk","Generic Alien Invasion JumpChain.pdf")</f>
        <v>Generic Alien Invasion JumpChain.pdf</v>
      </c>
      <c r="B658" s="12" t="str">
        <f t="shared" si="132"/>
        <v>DriveAnon's 4chan Drive/2. EVERYONE ELSE'S JUMPS/3. Series/Generic _Fill in the Blank_ Jumps</v>
      </c>
    </row>
    <row r="659">
      <c r="A659" s="12" t="str">
        <f>HYPERLINK("https://drive.google.com/file/d/1neZ0sX6QcNccI1BQqxNdnWGcZax7TqvF/view?usp=drivesdk","Generic Virtual World Jumpchain.pdf")</f>
        <v>Generic Virtual World Jumpchain.pdf</v>
      </c>
      <c r="B659" s="12" t="str">
        <f t="shared" si="132"/>
        <v>DriveAnon's 4chan Drive/2. EVERYONE ELSE'S JUMPS/3. Series/Generic _Fill in the Blank_ Jumps</v>
      </c>
    </row>
    <row r="660">
      <c r="A660" s="12" t="str">
        <f>HYPERLINK("https://drive.google.com/file/d/1slyQM9A-UjoCt6OEuWJSeYyTJG_TXvF7/view?usp=drivesdk","Generic Paranormal Romance JumpChain.pdf")</f>
        <v>Generic Paranormal Romance JumpChain.pdf</v>
      </c>
      <c r="B660" s="12" t="str">
        <f t="shared" si="132"/>
        <v>DriveAnon's 4chan Drive/2. EVERYONE ELSE'S JUMPS/3. Series/Generic _Fill in the Blank_ Jumps</v>
      </c>
    </row>
    <row r="661">
      <c r="A661" s="12" t="str">
        <f>HYPERLINK("https://drive.google.com/file/d/1w99L-m-8_2QG7eBnyuH4DKmya144qsEE/view?usp=drivesdk","Generic Children_s Television JumpChain.pdf")</f>
        <v>Generic Children_s Television JumpChain.pdf</v>
      </c>
      <c r="B661" s="12" t="str">
        <f t="shared" si="132"/>
        <v>DriveAnon's 4chan Drive/2. EVERYONE ELSE'S JUMPS/3. Series/Generic _Fill in the Blank_ Jumps</v>
      </c>
    </row>
    <row r="662">
      <c r="A662" s="12" t="str">
        <f>HYPERLINK("https://drive.google.com/file/d/1xgEkPXeJxreVRHWMKQ_L8NjeHzcn_Phr/view?usp=drivesdk","Generic Dungeon Builder JumpChain.pdf")</f>
        <v>Generic Dungeon Builder JumpChain.pdf</v>
      </c>
      <c r="B662" s="12" t="str">
        <f t="shared" si="132"/>
        <v>DriveAnon's 4chan Drive/2. EVERYONE ELSE'S JUMPS/3. Series/Generic _Fill in the Blank_ Jumps</v>
      </c>
    </row>
    <row r="663">
      <c r="A663" s="12" t="str">
        <f>HYPERLINK("https://drive.google.com/file/d/1xwwJn0VVX_IjdUPxdggN2GINobYCeAwk/view?usp=drivesdk","Generic Otome Isekai Game JumpChain.pdf")</f>
        <v>Generic Otome Isekai Game JumpChain.pdf</v>
      </c>
      <c r="B663" s="12" t="str">
        <f t="shared" si="132"/>
        <v>DriveAnon's 4chan Drive/2. EVERYONE ELSE'S JUMPS/3. Series/Generic _Fill in the Blank_ Jumps</v>
      </c>
    </row>
    <row r="664">
      <c r="A664" s="12" t="str">
        <f>HYPERLINK("https://drive.google.com/file/d/1H-tjtS0fFwitM9N8A5WDgyMru4dZET5I/view?usp=drivesdk","80s Action Movies Jumpchain.pdf")</f>
        <v>80s Action Movies Jumpchain.pdf</v>
      </c>
      <c r="B664" s="12" t="str">
        <f t="shared" si="132"/>
        <v>DriveAnon's 4chan Drive/2. EVERYONE ELSE'S JUMPS/3. Series/Generic _Fill in the Blank_ Jumps</v>
      </c>
    </row>
    <row r="665">
      <c r="A665" s="12" t="str">
        <f>HYPERLINK("https://drive.google.com/file/d/1RdryT6IpyrA9xxCnUMBW-6He4J5Qq4Zy/view?usp=drivesdk","Generic Police Jumpchain.pdf")</f>
        <v>Generic Police Jumpchain.pdf</v>
      </c>
      <c r="B665" s="12" t="str">
        <f t="shared" si="132"/>
        <v>DriveAnon's 4chan Drive/2. EVERYONE ELSE'S JUMPS/3. Series/Generic _Fill in the Blank_ Jumps</v>
      </c>
    </row>
    <row r="666">
      <c r="A666" s="12" t="str">
        <f>HYPERLINK("https://drive.google.com/file/d/1IsReXJbI-6LkY0tV1ScdvTPrAwPe-Ybi/view?usp=drivesdk","Generic Creepypasta BLACK.pdf")</f>
        <v>Generic Creepypasta BLACK.pdf</v>
      </c>
      <c r="B666" s="12" t="str">
        <f t="shared" ref="B666:B668" si="133">HYPERLINK("https://drive.google.com/drive/folders/1EYVWUcEr11lskM614QUi3lBcB01ZSNtV","DriveAnon's 4chan Drive/2. EVERYONE ELSE'S JUMPS/3. Series/Generic _Fill in the Blank_ Jumps/Generic Creepypasta")</f>
        <v>DriveAnon's 4chan Drive/2. EVERYONE ELSE'S JUMPS/3. Series/Generic _Fill in the Blank_ Jumps/Generic Creepypasta</v>
      </c>
    </row>
    <row r="667">
      <c r="A667" s="12" t="str">
        <f>HYPERLINK("https://drive.google.com/file/d/1WwuqYmlN4-vTq9vuHTfYiSYu3HL3JP5k/view?usp=drivesdk","Generic Creepypasta Cryptid Perk Combos.pdf")</f>
        <v>Generic Creepypasta Cryptid Perk Combos.pdf</v>
      </c>
      <c r="B667" s="12" t="str">
        <f t="shared" si="133"/>
        <v>DriveAnon's 4chan Drive/2. EVERYONE ELSE'S JUMPS/3. Series/Generic _Fill in the Blank_ Jumps/Generic Creepypasta</v>
      </c>
    </row>
    <row r="668">
      <c r="A668" s="12" t="str">
        <f>HYPERLINK("https://drive.google.com/file/d/1tds-tQNbvr7Qw9RcMzkx7Dta5Wq6QkIO/view?usp=drivesdk","Generic Creepypasta WHITE.pdf")</f>
        <v>Generic Creepypasta WHITE.pdf</v>
      </c>
      <c r="B668" s="12" t="str">
        <f t="shared" si="133"/>
        <v>DriveAnon's 4chan Drive/2. EVERYONE ELSE'S JUMPS/3. Series/Generic _Fill in the Blank_ Jumps/Generic Creepypasta</v>
      </c>
    </row>
    <row r="669">
      <c r="A669" s="12" t="str">
        <f>HYPERLINK("https://drive.google.com/file/d/1ntuCu2fzVpGu-Lly05AEC9jjvhJGyASJ/view?usp=drivesdk","Fullmetal Alchemist.pdf")</f>
        <v>Fullmetal Alchemist.pdf</v>
      </c>
      <c r="B669" s="12" t="str">
        <f t="shared" ref="B669:B670" si="134">HYPERLINK("https://drive.google.com/drive/folders/1qoXGj9pdiq7oxJgdglCGBQx0urVv5520","DriveAnon's 4chan Drive/2. EVERYONE ELSE'S JUMPS/3. Series/Fullmetal Alchemist")</f>
        <v>DriveAnon's 4chan Drive/2. EVERYONE ELSE'S JUMPS/3. Series/Fullmetal Alchemist</v>
      </c>
    </row>
    <row r="670">
      <c r="A670" s="12" t="str">
        <f>HYPERLINK("https://drive.google.com/file/d/1xZ4w_1pp8UsRviopW2svcc9XfsDPh2vz/view?usp=drivesdk","Fullmetal Homage CYOA.pdf")</f>
        <v>Fullmetal Homage CYOA.pdf</v>
      </c>
      <c r="B670" s="12" t="str">
        <f t="shared" si="134"/>
        <v>DriveAnon's 4chan Drive/2. EVERYONE ELSE'S JUMPS/3. Series/Fullmetal Alchemist</v>
      </c>
    </row>
    <row r="671">
      <c r="A671" s="12" t="str">
        <f>HYPERLINK("https://drive.google.com/file/d/1F7CwIXWZybexnpGOZYVSu4qZMcqWl5MH/view?usp=drivesdk","Fallout 4 Jumpchain.pdf")</f>
        <v>Fallout 4 Jumpchain.pdf</v>
      </c>
      <c r="B671" s="12" t="str">
        <f t="shared" ref="B671:B674" si="135">HYPERLINK("https://drive.google.com/drive/folders/1xpOSKo_PA7P-I3qjVErEuwJJd4kHh0Hv","DriveAnon's 4chan Drive/2. EVERYONE ELSE'S JUMPS/3. Series/Fallout")</f>
        <v>DriveAnon's 4chan Drive/2. EVERYONE ELSE'S JUMPS/3. Series/Fallout</v>
      </c>
    </row>
    <row r="672">
      <c r="A672" s="12" t="str">
        <f>HYPERLINK("https://drive.google.com/file/d/1OcRiP1JWleMyLtKYoCKV5YmAQEKXFEOl/view?usp=drivesdk","Fallout 1 JumpChain.pdf")</f>
        <v>Fallout 1 JumpChain.pdf</v>
      </c>
      <c r="B672" s="12" t="str">
        <f t="shared" si="135"/>
        <v>DriveAnon's 4chan Drive/2. EVERYONE ELSE'S JUMPS/3. Series/Fallout</v>
      </c>
    </row>
    <row r="673">
      <c r="A673" s="12" t="str">
        <f>HYPERLINK("https://drive.google.com/file/d/1PL-aDBPnhA-3KS8yqjT-jiL44Ec6pkVK/view?usp=drivesdk","Fallout New Vegas JumpChain.pdf")</f>
        <v>Fallout New Vegas JumpChain.pdf</v>
      </c>
      <c r="B673" s="12" t="str">
        <f t="shared" si="135"/>
        <v>DriveAnon's 4chan Drive/2. EVERYONE ELSE'S JUMPS/3. Series/Fallout</v>
      </c>
    </row>
    <row r="674">
      <c r="A674" s="12" t="str">
        <f>HYPERLINK("https://drive.google.com/file/d/1qGMT0toGwsst6zCzTGUU-IN7_lVNfl_N/view?usp=drivesdk","Fallout JumpChain.pdf")</f>
        <v>Fallout JumpChain.pdf</v>
      </c>
      <c r="B674" s="12" t="str">
        <f t="shared" si="135"/>
        <v>DriveAnon's 4chan Drive/2. EVERYONE ELSE'S JUMPS/3. Series/Fallout</v>
      </c>
    </row>
    <row r="675">
      <c r="A675" s="12" t="str">
        <f>HYPERLINK("https://drive.google.com/file/d/1YkExzGZkhslnX_Z2PZaHBaZUf4n2RIE1/view?usp=drivesdk","Age of Ice- End of Days.pdf")</f>
        <v>Age of Ice- End of Days.pdf</v>
      </c>
      <c r="B675" s="12" t="str">
        <f t="shared" ref="B675:B678" si="136">HYPERLINK("https://drive.google.com/drive/folders/1NczT_Noyj1UFP4aooEbDwWUt0oLCT48Y","DriveAnon's 4chan Drive/2. EVERYONE ELSE'S JUMPS/3. Series/Fall from Heaven")</f>
        <v>DriveAnon's 4chan Drive/2. EVERYONE ELSE'S JUMPS/3. Series/Fall from Heaven</v>
      </c>
    </row>
    <row r="676">
      <c r="A676" s="12" t="str">
        <f>HYPERLINK("https://drive.google.com/file/d/1nz60YQxs22W-i9cj_K2pTwe9wtUMWSV2/view?usp=drivesdk","Age of Ice- A time of Heroes.pdf")</f>
        <v>Age of Ice- A time of Heroes.pdf</v>
      </c>
      <c r="B676" s="12" t="str">
        <f t="shared" si="136"/>
        <v>DriveAnon's 4chan Drive/2. EVERYONE ELSE'S JUMPS/3. Series/Fall from Heaven</v>
      </c>
    </row>
    <row r="677">
      <c r="A677" s="12" t="str">
        <f>HYPERLINK("https://drive.google.com/file/d/1K_H2IqLW_7u-tvtffvGEdtrQFFMI1F5a/view?usp=drivesdk","Age of Ice DLC - A Light in the Darkness.pdf")</f>
        <v>Age of Ice DLC - A Light in the Darkness.pdf</v>
      </c>
      <c r="B677" s="12" t="str">
        <f t="shared" si="136"/>
        <v>DriveAnon's 4chan Drive/2. EVERYONE ELSE'S JUMPS/3. Series/Fall from Heaven</v>
      </c>
    </row>
    <row r="678">
      <c r="A678" s="12" t="str">
        <f>HYPERLINK("https://drive.google.com/file/d/1sfJVmPQTQ2JTjbjbRMa75xeCz_VEfDOb/view?usp=drivesdk","Age of Ice- A War of Powers.pdf")</f>
        <v>Age of Ice- A War of Powers.pdf</v>
      </c>
      <c r="B678" s="12" t="str">
        <f t="shared" si="136"/>
        <v>DriveAnon's 4chan Drive/2. EVERYONE ELSE'S JUMPS/3. Series/Fall from Heaven</v>
      </c>
    </row>
    <row r="679">
      <c r="A679" s="12" t="str">
        <f>HYPERLINK("https://drive.google.com/file/d/1yd86EvJUdy1AE_1i3GKXRID1x0av07LT/view?usp=drivesdk","Shards Of The Exalted Dream - Gunstar Autochthonia.pdf")</f>
        <v>Shards Of The Exalted Dream - Gunstar Autochthonia.pdf</v>
      </c>
      <c r="B679" s="12" t="str">
        <f t="shared" ref="B679:B692" si="137">HYPERLINK("https://drive.google.com/drive/folders/15jFPWJSWPnsPTs7MSwlqbIUaS3lGOWHe","DriveAnon's 4chan Drive/2. EVERYONE ELSE'S JUMPS/3. Series/Exalted")</f>
        <v>DriveAnon's 4chan Drive/2. EVERYONE ELSE'S JUMPS/3. Series/Exalted</v>
      </c>
    </row>
    <row r="680">
      <c r="A680" s="12" t="str">
        <f>HYPERLINK("https://drive.google.com/file/d/1s4PTO8g4Ql5CqXQUh8-yvanmR-C8NiWi/view?usp=drivesdk","Shards Of The Exalted Dream - Heaven's Reach.pdf")</f>
        <v>Shards Of The Exalted Dream - Heaven's Reach.pdf</v>
      </c>
      <c r="B680" s="12" t="str">
        <f t="shared" si="137"/>
        <v>DriveAnon's 4chan Drive/2. EVERYONE ELSE'S JUMPS/3. Series/Exalted</v>
      </c>
    </row>
    <row r="681">
      <c r="A681" s="12" t="str">
        <f>HYPERLINK("https://drive.google.com/file/d/1XTpCTt7U7BDqooKbqy-Vl-3-6WdQvvrM/view?usp=drivesdk","Exalted - Spirits Of Creation.pdf")</f>
        <v>Exalted - Spirits Of Creation.pdf</v>
      </c>
      <c r="B681" s="12" t="str">
        <f t="shared" si="137"/>
        <v>DriveAnon's 4chan Drive/2. EVERYONE ELSE'S JUMPS/3. Series/Exalted</v>
      </c>
    </row>
    <row r="682">
      <c r="A682" s="12" t="str">
        <f>HYPERLINK("https://drive.google.com/file/d/1I7ofjT_jKn6-yoNO7Ks932p5Rknbqb-f/view?usp=drivesdk","Exalted vs World of Darkness.pdf")</f>
        <v>Exalted vs World of Darkness.pdf</v>
      </c>
      <c r="B682" s="12" t="str">
        <f t="shared" si="137"/>
        <v>DriveAnon's 4chan Drive/2. EVERYONE ELSE'S JUMPS/3. Series/Exalted</v>
      </c>
    </row>
    <row r="683">
      <c r="A683" s="12" t="str">
        <f>HYPERLINK("https://drive.google.com/file/d/132fTcD6K8LY3J2_vJDX1UmuJ3Vw-mH9i/view?usp=drivesdk","Shards Of The Exalted Dream; The Modern Age.pdf")</f>
        <v>Shards Of The Exalted Dream; The Modern Age.pdf</v>
      </c>
      <c r="B683" s="12" t="str">
        <f t="shared" si="137"/>
        <v>DriveAnon's 4chan Drive/2. EVERYONE ELSE'S JUMPS/3. Series/Exalted</v>
      </c>
    </row>
    <row r="684">
      <c r="A684" s="12" t="str">
        <f>HYPERLINK("https://drive.google.com/file/d/1oHpdDYL4H03-JkExhBzYZkyXi5lCgw5D/view?usp=drivesdk","Exalted - The Alchemicals.pdf")</f>
        <v>Exalted - The Alchemicals.pdf</v>
      </c>
      <c r="B684" s="12" t="str">
        <f t="shared" si="137"/>
        <v>DriveAnon's 4chan Drive/2. EVERYONE ELSE'S JUMPS/3. Series/Exalted</v>
      </c>
    </row>
    <row r="685">
      <c r="A685" s="12" t="str">
        <f>HYPERLINK("https://drive.google.com/file/d/1OHzRqnsJNwZzyKkgpHTttU5OjAZ3ZgjV/view?usp=drivesdk","Shards Of The Exalted Dream; Burn Legend.pdf")</f>
        <v>Shards Of The Exalted Dream; Burn Legend.pdf</v>
      </c>
      <c r="B685" s="12" t="str">
        <f t="shared" si="137"/>
        <v>DriveAnon's 4chan Drive/2. EVERYONE ELSE'S JUMPS/3. Series/Exalted</v>
      </c>
    </row>
    <row r="686">
      <c r="A686" s="12" t="str">
        <f>HYPERLINK("https://drive.google.com/file/d/1ZyGvBS83Z22svZPTyhz4ePvjF4IS8kxx/view?usp=drivesdk","Exalted - The Lunars.pdf")</f>
        <v>Exalted - The Lunars.pdf</v>
      </c>
      <c r="B686" s="12" t="str">
        <f t="shared" si="137"/>
        <v>DriveAnon's 4chan Drive/2. EVERYONE ELSE'S JUMPS/3. Series/Exalted</v>
      </c>
    </row>
    <row r="687">
      <c r="A687" s="12" t="str">
        <f>HYPERLINK("https://drive.google.com/file/d/19P-jQiDkgwtVvxnUYWsV1vtrcPsH60b3/view?usp=drivesdk","Exalted - Solars JumpChain.pdf")</f>
        <v>Exalted - Solars JumpChain.pdf</v>
      </c>
      <c r="B687" s="12" t="str">
        <f t="shared" si="137"/>
        <v>DriveAnon's 4chan Drive/2. EVERYONE ELSE'S JUMPS/3. Series/Exalted</v>
      </c>
    </row>
    <row r="688">
      <c r="A688" s="12" t="str">
        <f>HYPERLINK("https://drive.google.com/file/d/1CGyAZlLmB0kG_58dWBzTwJIDqgGMstDa/view?usp=drivesdk","Exalted Sidereals JumpChain.pdf")</f>
        <v>Exalted Sidereals JumpChain.pdf</v>
      </c>
      <c r="B688" s="12" t="str">
        <f t="shared" si="137"/>
        <v>DriveAnon's 4chan Drive/2. EVERYONE ELSE'S JUMPS/3. Series/Exalted</v>
      </c>
    </row>
    <row r="689">
      <c r="A689" s="12" t="str">
        <f>HYPERLINK("https://drive.google.com/file/d/1MoSYGlYiwJ4T-m0DbFvTcVsPb5YNMcB6/view?usp=drivesdk","Exalted- Mortal Hero Gauntlet JumpChain.pdf")</f>
        <v>Exalted- Mortal Hero Gauntlet JumpChain.pdf</v>
      </c>
      <c r="B689" s="12" t="str">
        <f t="shared" si="137"/>
        <v>DriveAnon's 4chan Drive/2. EVERYONE ELSE'S JUMPS/3. Series/Exalted</v>
      </c>
    </row>
    <row r="690">
      <c r="A690" s="12" t="str">
        <f>HYPERLINK("https://drive.google.com/file/d/1UggPffqfZqQPn17m8AP_EwYcIUDV0f1g/view?usp=drivesdk","Exalted - The Infernals JumpChain.pdf")</f>
        <v>Exalted - The Infernals JumpChain.pdf</v>
      </c>
      <c r="B690" s="12" t="str">
        <f t="shared" si="137"/>
        <v>DriveAnon's 4chan Drive/2. EVERYONE ELSE'S JUMPS/3. Series/Exalted</v>
      </c>
    </row>
    <row r="691">
      <c r="A691" s="12" t="str">
        <f>HYPERLINK("https://drive.google.com/file/d/1oiIFUFw00IcIFO9rWR1mxQUcg38zOnli/view?usp=drivesdk","Exalted Abyssals JumpChain.pdf")</f>
        <v>Exalted Abyssals JumpChain.pdf</v>
      </c>
      <c r="B691" s="12" t="str">
        <f t="shared" si="137"/>
        <v>DriveAnon's 4chan Drive/2. EVERYONE ELSE'S JUMPS/3. Series/Exalted</v>
      </c>
    </row>
    <row r="692">
      <c r="A692" s="12" t="str">
        <f>HYPERLINK("https://drive.google.com/file/d/1uFzZLJsVcbmUFOxXdGhFE06M8W_clcLW/view?usp=drivesdk","Exalted- The Dragonbloods Jumpchain.pdf")</f>
        <v>Exalted- The Dragonbloods Jumpchain.pdf</v>
      </c>
      <c r="B692" s="12" t="str">
        <f t="shared" si="137"/>
        <v>DriveAnon's 4chan Drive/2. EVERYONE ELSE'S JUMPS/3. Series/Exalted</v>
      </c>
    </row>
    <row r="693">
      <c r="A693" s="12" t="str">
        <f>HYPERLINK("https://drive.google.com/file/d/1H7myOJSPNBLtTdMHhnE2-ZIDjrKMxd5N/view?usp=drivesdk","Escaflowne- A Girl in Gaea JumpChain.pdf")</f>
        <v>Escaflowne- A Girl in Gaea JumpChain.pdf</v>
      </c>
      <c r="B693" s="12" t="str">
        <f t="shared" ref="B693:B694" si="138">HYPERLINK("https://drive.google.com/drive/folders/1W-46fNuLwYj5C8C6v-BSh2ZDA7R2D0Z1","DriveAnon's 4chan Drive/2. EVERYONE ELSE'S JUMPS/3. Series/Escaflowne")</f>
        <v>DriveAnon's 4chan Drive/2. EVERYONE ELSE'S JUMPS/3. Series/Escaflowne</v>
      </c>
    </row>
    <row r="694">
      <c r="A694" s="12" t="str">
        <f>HYPERLINK("https://drive.google.com/file/d/1q_opWzxCPEJIlxLH_USUA0BhcSFTkLAG/view?usp=drivesdk","The Vision of Escaflowne JumpChain.pdf")</f>
        <v>The Vision of Escaflowne JumpChain.pdf</v>
      </c>
      <c r="B694" s="12" t="str">
        <f t="shared" si="138"/>
        <v>DriveAnon's 4chan Drive/2. EVERYONE ELSE'S JUMPS/3. Series/Escaflowne</v>
      </c>
    </row>
    <row r="695">
      <c r="A695" s="12" t="str">
        <f>HYPERLINK("https://drive.google.com/file/d/1PRMY3jVF9O5Atq2QF6gAfS6cRFudoJUH/view?usp=drivesdk","Etrian Odyssey 5-Beyond the Myth JumpChain.pdf")</f>
        <v>Etrian Odyssey 5-Beyond the Myth JumpChain.pdf</v>
      </c>
      <c r="B695" s="12" t="str">
        <f t="shared" ref="B695:B696" si="139">HYPERLINK("https://drive.google.com/drive/folders/1JtP_5L-ZwxhQ-vgHdy2Vp4_NOrzfV2eW","DriveAnon's 4chan Drive/2. EVERYONE ELSE'S JUMPS/3. Series/Etrian Odyssey")</f>
        <v>DriveAnon's 4chan Drive/2. EVERYONE ELSE'S JUMPS/3. Series/Etrian Odyssey</v>
      </c>
    </row>
    <row r="696">
      <c r="A696" s="12" t="str">
        <f>HYPERLINK("https://drive.google.com/file/d/1WjK6kWB-x8-VsqFNVnbO9AIgaBMV5KVj/view?usp=drivesdk","Etrian Odyssey JumpChain.pdf")</f>
        <v>Etrian Odyssey JumpChain.pdf</v>
      </c>
      <c r="B696" s="12" t="str">
        <f t="shared" si="139"/>
        <v>DriveAnon's 4chan Drive/2. EVERYONE ELSE'S JUMPS/3. Series/Etrian Odyssey</v>
      </c>
    </row>
    <row r="697">
      <c r="A697" s="12" t="str">
        <f>HYPERLINK("https://drive.google.com/file/d/1HgXWOP7BHvoX0YIcS1NJ06LHnggREanN/view?usp=drivesdk","Divinity- Original Sin JumpChain.pdf")</f>
        <v>Divinity- Original Sin JumpChain.pdf</v>
      </c>
      <c r="B697" s="12" t="str">
        <f t="shared" ref="B697:B698" si="140">HYPERLINK("https://drive.google.com/drive/folders/15DIoS9vK8G0JOCoxO_3tV6UHKzwCWHe-","DriveAnon's 4chan Drive/2. EVERYONE ELSE'S JUMPS/3. Series/Divinity")</f>
        <v>DriveAnon's 4chan Drive/2. EVERYONE ELSE'S JUMPS/3. Series/Divinity</v>
      </c>
    </row>
    <row r="698">
      <c r="A698" s="12" t="str">
        <f>HYPERLINK("https://drive.google.com/file/d/1uYfNiaUUg9TJUsIWclwNqdFtRzyrzuQ9/view?usp=drivesdk","Divinity Dragon Commander JumpChain.pdf")</f>
        <v>Divinity Dragon Commander JumpChain.pdf</v>
      </c>
      <c r="B698" s="12" t="str">
        <f t="shared" si="140"/>
        <v>DriveAnon's 4chan Drive/2. EVERYONE ELSE'S JUMPS/3. Series/Divinity</v>
      </c>
    </row>
    <row r="699">
      <c r="A699" s="12" t="str">
        <f>HYPERLINK("https://drive.google.com/file/d/1qY-Ti7Y9XjiDnDTT1-HMcZ7fh8JMYWcY/view?usp=drivesdk","Dragon Age- Inquisition JumpChain.pdf")</f>
        <v>Dragon Age- Inquisition JumpChain.pdf</v>
      </c>
      <c r="B699" s="12" t="str">
        <f t="shared" ref="B699:B700" si="141">HYPERLINK("https://drive.google.com/drive/folders/17_Qgkw4tG6VrsctOLcBpytLwrLbdmd9B","DriveAnon's 4chan Drive/2. EVERYONE ELSE'S JUMPS/3. Series/Dragon Age")</f>
        <v>DriveAnon's 4chan Drive/2. EVERYONE ELSE'S JUMPS/3. Series/Dragon Age</v>
      </c>
    </row>
    <row r="700">
      <c r="A700" s="12" t="str">
        <f>HYPERLINK("https://drive.google.com/file/d/1y0l5EOSXhksCk4liYe8UO3Sc_NOeduyB/view?usp=drivesdk","Dragon Age JumpChain.pdf")</f>
        <v>Dragon Age JumpChain.pdf</v>
      </c>
      <c r="B700" s="12" t="str">
        <f t="shared" si="141"/>
        <v>DriveAnon's 4chan Drive/2. EVERYONE ELSE'S JUMPS/3. Series/Dragon Age</v>
      </c>
    </row>
    <row r="701">
      <c r="A701" s="12" t="str">
        <f>HYPERLINK("https://drive.google.com/file/d/1IHxPRsN_Q0UD-aJC34htNPfSulHJfp-v/view?usp=drivesdk","The Emperor's New Groove.pdf")</f>
        <v>The Emperor's New Groove.pdf</v>
      </c>
      <c r="B701" s="12" t="str">
        <f t="shared" ref="B701:B712" si="142">HYPERLINK("https://drive.google.com/drive/folders/1BYysQ-PDM1h2KEZ5m4ZPb30IpP8WucOw","DriveAnon's 4chan Drive/2. EVERYONE ELSE'S JUMPS/3. Series/Disney Animated")</f>
        <v>DriveAnon's 4chan Drive/2. EVERYONE ELSE'S JUMPS/3. Series/Disney Animated</v>
      </c>
    </row>
    <row r="702">
      <c r="A702" s="12" t="str">
        <f>HYPERLINK("https://drive.google.com/file/d/19N39wigpcU5C7zgXX-TZ58onhwuQa2JE/view?usp=drivesdk","Atlantis - The Lost Empire.pdf")</f>
        <v>Atlantis - The Lost Empire.pdf</v>
      </c>
      <c r="B702" s="12" t="str">
        <f t="shared" si="142"/>
        <v>DriveAnon's 4chan Drive/2. EVERYONE ELSE'S JUMPS/3. Series/Disney Animated</v>
      </c>
    </row>
    <row r="703">
      <c r="A703" s="12" t="str">
        <f>HYPERLINK("https://drive.google.com/file/d/1smfi4Q3w7WwObzjhu1OAo0qAc7EAfOwQ/view?usp=drivesdk","Twisted (Musical).pdf")</f>
        <v>Twisted (Musical).pdf</v>
      </c>
      <c r="B703" s="12" t="str">
        <f t="shared" si="142"/>
        <v>DriveAnon's 4chan Drive/2. EVERYONE ELSE'S JUMPS/3. Series/Disney Animated</v>
      </c>
    </row>
    <row r="704">
      <c r="A704" s="12" t="str">
        <f>HYPERLINK("https://drive.google.com/file/d/1-YNHb4f1U49G-Zvn5TUcpA_PNQ_42Q64/view?usp=drivesdk","Disney’s Sleeping Beauty Jumpchain.pdf")</f>
        <v>Disney’s Sleeping Beauty Jumpchain.pdf</v>
      </c>
      <c r="B704" s="12" t="str">
        <f t="shared" si="142"/>
        <v>DriveAnon's 4chan Drive/2. EVERYONE ELSE'S JUMPS/3. Series/Disney Animated</v>
      </c>
    </row>
    <row r="705">
      <c r="A705" s="12" t="str">
        <f>HYPERLINK("https://drive.google.com/file/d/1BFL33_TNyVZhrfWL6RxBpmThzPEs8RyY/view?usp=drivesdk","Moana JumpChain.pdf")</f>
        <v>Moana JumpChain.pdf</v>
      </c>
      <c r="B705" s="12" t="str">
        <f t="shared" si="142"/>
        <v>DriveAnon's 4chan Drive/2. EVERYONE ELSE'S JUMPS/3. Series/Disney Animated</v>
      </c>
    </row>
    <row r="706">
      <c r="A706" s="12" t="str">
        <f>HYPERLINK("https://drive.google.com/file/d/1EAOLK_AB5Et6Fmkm7jaWvNe5hFPFHWK9/view?usp=drivesdk","Nightmare Before Christmas JumpChain.pdf")</f>
        <v>Nightmare Before Christmas JumpChain.pdf</v>
      </c>
      <c r="B706" s="12" t="str">
        <f t="shared" si="142"/>
        <v>DriveAnon's 4chan Drive/2. EVERYONE ELSE'S JUMPS/3. Series/Disney Animated</v>
      </c>
    </row>
    <row r="707">
      <c r="A707" s="12" t="str">
        <f>HYPERLINK("https://drive.google.com/file/d/1JCiRVtVx097osBRAvHX0iYsUHb4MYTVr/view?usp=drivesdk","Disney Villains Victorious JumpChain.pdf")</f>
        <v>Disney Villains Victorious JumpChain.pdf</v>
      </c>
      <c r="B707" s="12" t="str">
        <f t="shared" si="142"/>
        <v>DriveAnon's 4chan Drive/2. EVERYONE ELSE'S JUMPS/3. Series/Disney Animated</v>
      </c>
    </row>
    <row r="708">
      <c r="A708" s="12" t="str">
        <f>HYPERLINK("https://drive.google.com/file/d/1K5kgqjhuaWFM5M2aFVydLNF-aFEO07JU/view?usp=drivesdk","Aladdin JumpChain.pdf")</f>
        <v>Aladdin JumpChain.pdf</v>
      </c>
      <c r="B708" s="12" t="str">
        <f t="shared" si="142"/>
        <v>DriveAnon's 4chan Drive/2. EVERYONE ELSE'S JUMPS/3. Series/Disney Animated</v>
      </c>
    </row>
    <row r="709">
      <c r="A709" s="12" t="str">
        <f>HYPERLINK("https://drive.google.com/file/d/1WdGZ2AxNUOAbujT3TLsuK_gycvsQi43C/view?usp=drivesdk","Lilo And Stich JumpChain.pdf")</f>
        <v>Lilo And Stich JumpChain.pdf</v>
      </c>
      <c r="B709" s="12" t="str">
        <f t="shared" si="142"/>
        <v>DriveAnon's 4chan Drive/2. EVERYONE ELSE'S JUMPS/3. Series/Disney Animated</v>
      </c>
    </row>
    <row r="710">
      <c r="A710" s="12" t="str">
        <f>HYPERLINK("https://drive.google.com/file/d/1oE7BmEXxGnnVr6NKf7R5bnVQgnY3pGZg/view?usp=drivesdk","Disney Princess JumpChain.pdf")</f>
        <v>Disney Princess JumpChain.pdf</v>
      </c>
      <c r="B710" s="12" t="str">
        <f t="shared" si="142"/>
        <v>DriveAnon's 4chan Drive/2. EVERYONE ELSE'S JUMPS/3. Series/Disney Animated</v>
      </c>
    </row>
    <row r="711">
      <c r="A711" s="12" t="str">
        <f>HYPERLINK("https://drive.google.com/file/d/1uskqhK_-Bqa5Aiff_SOzUDBv6-htJ8Fy/view?usp=drivesdk","Robin Hood JumpChain.pdf")</f>
        <v>Robin Hood JumpChain.pdf</v>
      </c>
      <c r="B711" s="12" t="str">
        <f t="shared" si="142"/>
        <v>DriveAnon's 4chan Drive/2. EVERYONE ELSE'S JUMPS/3. Series/Disney Animated</v>
      </c>
    </row>
    <row r="712">
      <c r="A712" s="12" t="str">
        <f>HYPERLINK("https://drive.google.com/file/d/1x1OkzyTCH9cZE88831FW4N_kGlN8yS6I/view?usp=drivesdk","Monsters Inc. JumpChain.pdf")</f>
        <v>Monsters Inc. JumpChain.pdf</v>
      </c>
      <c r="B712" s="12" t="str">
        <f t="shared" si="142"/>
        <v>DriveAnon's 4chan Drive/2. EVERYONE ELSE'S JUMPS/3. Series/Disney Animated</v>
      </c>
    </row>
    <row r="713">
      <c r="A713" s="12" t="str">
        <f>HYPERLINK("https://drive.google.com/file/d/1WO6kc-IQC3WrrxGHV_5L4Vuekdn6v2ge/view?usp=drivesdk","Frozen JumpChain.pdf")</f>
        <v>Frozen JumpChain.pdf</v>
      </c>
      <c r="B713" s="12" t="str">
        <f t="shared" ref="B713:B714" si="143">HYPERLINK("https://drive.google.com/drive/folders/1fB4_r5wMe0XYpwWosYoSMT19QzCR373w","DriveAnon's 4chan Drive/2. EVERYONE ELSE'S JUMPS/3. Series/Disney Animated/Frozen")</f>
        <v>DriveAnon's 4chan Drive/2. EVERYONE ELSE'S JUMPS/3. Series/Disney Animated/Frozen</v>
      </c>
    </row>
    <row r="714">
      <c r="A714" s="12" t="str">
        <f>HYPERLINK("https://drive.google.com/file/d/1_Fn1z0YI0u8vxMciKdeaMLjYQMIc2-jK/view?usp=drivesdk","Frozen JumpChain Text.pdf")</f>
        <v>Frozen JumpChain Text.pdf</v>
      </c>
      <c r="B714" s="12" t="str">
        <f t="shared" si="143"/>
        <v>DriveAnon's 4chan Drive/2. EVERYONE ELSE'S JUMPS/3. Series/Disney Animated/Frozen</v>
      </c>
    </row>
    <row r="715">
      <c r="A715" s="12" t="str">
        <f>HYPERLINK("https://drive.google.com/file/d/15HTRU5lsukaxONx3BModitilqNecfyb0/view?usp=drivesdk","Egyptian mythology (Aaru Edition) JumpChain.pdf")</f>
        <v>Egyptian mythology (Aaru Edition) JumpChain.pdf</v>
      </c>
      <c r="B715" s="12" t="str">
        <f t="shared" ref="B715:B716" si="144">HYPERLINK("https://drive.google.com/drive/folders/1CqxrQ2U5pWAelFShffpiDJ1_lTGYoxfd","DriveAnon's 4chan Drive/2. EVERYONE ELSE'S JUMPS/3. Series/Egyptian mythology")</f>
        <v>DriveAnon's 4chan Drive/2. EVERYONE ELSE'S JUMPS/3. Series/Egyptian mythology</v>
      </c>
    </row>
    <row r="716">
      <c r="A716" s="12" t="str">
        <f>HYPERLINK("https://drive.google.com/file/d/1poGyE75C2CXDbCOGbwiNiiKNB4NFxDfX/view?usp=drivesdk","Egyptian mythology (Duat Edition) JumpChain.pdf")</f>
        <v>Egyptian mythology (Duat Edition) JumpChain.pdf</v>
      </c>
      <c r="B716" s="12" t="str">
        <f t="shared" si="144"/>
        <v>DriveAnon's 4chan Drive/2. EVERYONE ELSE'S JUMPS/3. Series/Egyptian mythology</v>
      </c>
    </row>
    <row r="717">
      <c r="A717" s="12" t="str">
        <f>HYPERLINK("https://drive.google.com/file/d/1r8bZio4XAtAFVFfLw4QLhOIz2ZLMrT4C/view?usp=drivesdk","Tome Of Radiance.pdf")</f>
        <v>Tome Of Radiance.pdf</v>
      </c>
      <c r="B717" s="12" t="str">
        <f t="shared" ref="B717:B726" si="145">HYPERLINK("https://drive.google.com/drive/folders/1RHCskIqvJHzrFyJRbZvpdQaXbyzMGBt_","DriveAnon's 4chan Drive/2. EVERYONE ELSE'S JUMPS/3. Series/DnD")</f>
        <v>DriveAnon's 4chan Drive/2. EVERYONE ELSE'S JUMPS/3. Series/DnD</v>
      </c>
    </row>
    <row r="718">
      <c r="A718" s="12" t="str">
        <f>HYPERLINK("https://drive.google.com/file/d/1oINTw5XXzTUSbsGoOo8FrCW1ZI7v0mYe/view?usp=drivesdk","Eberron.pdf")</f>
        <v>Eberron.pdf</v>
      </c>
      <c r="B718" s="12" t="str">
        <f t="shared" si="145"/>
        <v>DriveAnon's 4chan Drive/2. EVERYONE ELSE'S JUMPS/3. Series/DnD</v>
      </c>
    </row>
    <row r="719">
      <c r="A719" s="12" t="str">
        <f>HYPERLINK("https://drive.google.com/file/d/1KiXAKGyQQrll9zgl2UhvRl3Dejf9_jtl/view?usp=drivesdk","The Dragons.pdf")</f>
        <v>The Dragons.pdf</v>
      </c>
      <c r="B719" s="12" t="str">
        <f t="shared" si="145"/>
        <v>DriveAnon's 4chan Drive/2. EVERYONE ELSE'S JUMPS/3. Series/DnD</v>
      </c>
    </row>
    <row r="720">
      <c r="A720" s="12" t="str">
        <f>HYPERLINK("https://drive.google.com/file/d/1k565woUxPL_trXA7XFjZfth0aHBlGvrz/view?usp=drivesdk","Tome Of Radiance(1).pdf")</f>
        <v>Tome Of Radiance(1).pdf</v>
      </c>
      <c r="B720" s="12" t="str">
        <f t="shared" si="145"/>
        <v>DriveAnon's 4chan Drive/2. EVERYONE ELSE'S JUMPS/3. Series/DnD</v>
      </c>
    </row>
    <row r="721">
      <c r="A721" s="12" t="str">
        <f>HYPERLINK("https://drive.google.com/file/d/1fAuFb8s9k1kd0j-niu8DTLoHWTQ2IiGg/view?usp=drivesdk","Ravenloft.pdf")</f>
        <v>Ravenloft.pdf</v>
      </c>
      <c r="B721" s="12" t="str">
        <f t="shared" si="145"/>
        <v>DriveAnon's 4chan Drive/2. EVERYONE ELSE'S JUMPS/3. Series/DnD</v>
      </c>
    </row>
    <row r="722">
      <c r="A722" s="12" t="str">
        <f>HYPERLINK("https://drive.google.com/file/d/1954TPykhe5QAlap_d0qmFgZHEsHyyieg/view?usp=drivesdk","Forgotten Realms JumpChain.pdf")</f>
        <v>Forgotten Realms JumpChain.pdf</v>
      </c>
      <c r="B722" s="12" t="str">
        <f t="shared" si="145"/>
        <v>DriveAnon's 4chan Drive/2. EVERYONE ELSE'S JUMPS/3. Series/DnD</v>
      </c>
    </row>
    <row r="723">
      <c r="A723" s="12" t="str">
        <f>HYPERLINK("https://drive.google.com/file/d/1Jj2_i7Hf5o3mdzv2U2aC5KNDB2gSyjfP/view?usp=drivesdk","Dark Sun JumpChain.pdf")</f>
        <v>Dark Sun JumpChain.pdf</v>
      </c>
      <c r="B723" s="12" t="str">
        <f t="shared" si="145"/>
        <v>DriveAnon's 4chan Drive/2. EVERYONE ELSE'S JUMPS/3. Series/DnD</v>
      </c>
    </row>
    <row r="724">
      <c r="A724" s="12" t="str">
        <f>HYPERLINK("https://drive.google.com/file/d/1Z0biVcNk50RCUw0KaMUE-MqW2p9AM_Ai/view?usp=drivesdk","Neverwinter Nights JumpChain.pdf")</f>
        <v>Neverwinter Nights JumpChain.pdf</v>
      </c>
      <c r="B724" s="12" t="str">
        <f t="shared" si="145"/>
        <v>DriveAnon's 4chan Drive/2. EVERYONE ELSE'S JUMPS/3. Series/DnD</v>
      </c>
    </row>
    <row r="725">
      <c r="A725" s="12" t="str">
        <f>HYPERLINK("https://drive.google.com/file/d/1jT4uSMsJauaKmEx5MEnB08GApNpgiSvi/view?usp=drivesdk","Order of the Stick JumpChain.pdf")</f>
        <v>Order of the Stick JumpChain.pdf</v>
      </c>
      <c r="B725" s="12" t="str">
        <f t="shared" si="145"/>
        <v>DriveAnon's 4chan Drive/2. EVERYONE ELSE'S JUMPS/3. Series/DnD</v>
      </c>
    </row>
    <row r="726">
      <c r="A726" s="12" t="str">
        <f>HYPERLINK("https://drive.google.com/file/d/1w-HCtCH8ycOkhQ5nyYE_InYWZ_Vj5aMc/view?usp=drivesdk","Dragonlance JumpChain.pdf")</f>
        <v>Dragonlance JumpChain.pdf</v>
      </c>
      <c r="B726" s="12" t="str">
        <f t="shared" si="145"/>
        <v>DriveAnon's 4chan Drive/2. EVERYONE ELSE'S JUMPS/3. Series/DnD</v>
      </c>
    </row>
    <row r="727">
      <c r="A727" s="12" t="str">
        <f>HYPERLINK("https://drive.google.com/file/d/1EgckLCipIVl-VAJ6KJdsZ850hVAF4_bw/view?usp=drivesdk","Donkey Kong Country.pdf")</f>
        <v>Donkey Kong Country.pdf</v>
      </c>
      <c r="B727" s="12" t="str">
        <f t="shared" ref="B727:B728" si="146">HYPERLINK("https://drive.google.com/drive/folders/1W5dFjU1e1HOR-iBcyRM0bcE853Jl96ns","DriveAnon's 4chan Drive/2. EVERYONE ELSE'S JUMPS/3. Series/Donkey Kong")</f>
        <v>DriveAnon's 4chan Drive/2. EVERYONE ELSE'S JUMPS/3. Series/Donkey Kong</v>
      </c>
    </row>
    <row r="728">
      <c r="A728" s="12" t="str">
        <f>HYPERLINK("https://drive.google.com/file/d/1lNtNuKr0Fp21m3yNa3K5Yae673AGc93L/view?usp=drivesdk","Donkey Kong (Cartoon) JumpChain.pdf")</f>
        <v>Donkey Kong (Cartoon) JumpChain.pdf</v>
      </c>
      <c r="B728" s="12" t="str">
        <f t="shared" si="146"/>
        <v>DriveAnon's 4chan Drive/2. EVERYONE ELSE'S JUMPS/3. Series/Donkey Kong</v>
      </c>
    </row>
    <row r="729">
      <c r="A729" s="12" t="str">
        <f>HYPERLINK("https://drive.google.com/file/d/16lL6bOjI8MrANzf7jdWGbZjsBKSPvWOg/view?usp=drivesdk","Doom Eternal JumpChain.pdf")</f>
        <v>Doom Eternal JumpChain.pdf</v>
      </c>
      <c r="B729" s="12" t="str">
        <f t="shared" ref="B729:B730" si="147">HYPERLINK("https://drive.google.com/drive/folders/1iTzQBHqj7jFrskNCl-C_uEbHZvE8A-aw","DriveAnon's 4chan Drive/2. EVERYONE ELSE'S JUMPS/3. Series/DOOM")</f>
        <v>DriveAnon's 4chan Drive/2. EVERYONE ELSE'S JUMPS/3. Series/DOOM</v>
      </c>
    </row>
    <row r="730">
      <c r="A730" s="12" t="str">
        <f>HYPERLINK("https://drive.google.com/file/d/1Sw9LmHOroounDQHPUfPZFm4f93vBoKar/view?usp=drivesdk","doomjump.txt")</f>
        <v>doomjump.txt</v>
      </c>
      <c r="B730" s="12" t="str">
        <f t="shared" si="147"/>
        <v>DriveAnon's 4chan Drive/2. EVERYONE ELSE'S JUMPS/3. Series/DOOM</v>
      </c>
    </row>
    <row r="731">
      <c r="A731" s="12" t="str">
        <f>HYPERLINK("https://drive.google.com/file/d/18yqk502Y66j7deD0xdvl-SMG7ZZj-mfJ/view?usp=drivesdk","Dragon Ball Fighter Z (By Anon).pdf")</f>
        <v>Dragon Ball Fighter Z (By Anon).pdf</v>
      </c>
      <c r="B731" s="12" t="str">
        <f t="shared" ref="B731:B738" si="148">HYPERLINK("https://drive.google.com/drive/folders/1kdqWIqJVVtnmH5MVQ6hKKSQI3i7QkZ4u","DriveAnon's 4chan Drive/2. EVERYONE ELSE'S JUMPS/3. Series/Dragon Ball")</f>
        <v>DriveAnon's 4chan Drive/2. EVERYONE ELSE'S JUMPS/3. Series/Dragon Ball</v>
      </c>
    </row>
    <row r="732">
      <c r="A732" s="12" t="str">
        <f>HYPERLINK("https://drive.google.com/file/d/1-nv0mWVVqSfzVhLK0Yiax1Q3L2J5slSr/view?usp=drivesdk","Dragon Ball Z  JumpChain.pdf")</f>
        <v>Dragon Ball Z  JumpChain.pdf</v>
      </c>
      <c r="B732" s="12" t="str">
        <f t="shared" si="148"/>
        <v>DriveAnon's 4chan Drive/2. EVERYONE ELSE'S JUMPS/3. Series/Dragon Ball</v>
      </c>
    </row>
    <row r="733">
      <c r="A733" s="12" t="str">
        <f>HYPERLINK("https://drive.google.com/file/d/12JC207-Lfz1k27lnh0QxqR8tzYRL8hfJ/view?usp=drivesdk","Dragon Ball JumpChain.pdf")</f>
        <v>Dragon Ball JumpChain.pdf</v>
      </c>
      <c r="B733" s="12" t="str">
        <f t="shared" si="148"/>
        <v>DriveAnon's 4chan Drive/2. EVERYONE ELSE'S JUMPS/3. Series/Dragon Ball</v>
      </c>
    </row>
    <row r="734">
      <c r="A734" s="12" t="str">
        <f>HYPERLINK("https://drive.google.com/file/d/1LZtzC_vgMZhPoNQSwa8l79XyDRvbebr-/view?usp=drivesdk","Dragon Ball AF JumpChain.pdf")</f>
        <v>Dragon Ball AF JumpChain.pdf</v>
      </c>
      <c r="B734" s="12" t="str">
        <f t="shared" si="148"/>
        <v>DriveAnon's 4chan Drive/2. EVERYONE ELSE'S JUMPS/3. Series/Dragon Ball</v>
      </c>
    </row>
    <row r="735">
      <c r="A735" s="12" t="str">
        <f>HYPERLINK("https://drive.google.com/file/d/1PquVExh-eiEq_R-FO7sSCsH3UKLsfL0t/view?usp=drivesdk","Dragon Ball Super JumpChain.pdf")</f>
        <v>Dragon Ball Super JumpChain.pdf</v>
      </c>
      <c r="B735" s="12" t="str">
        <f t="shared" si="148"/>
        <v>DriveAnon's 4chan Drive/2. EVERYONE ELSE'S JUMPS/3. Series/Dragon Ball</v>
      </c>
    </row>
    <row r="736">
      <c r="A736" s="12" t="str">
        <f>HYPERLINK("https://drive.google.com/file/d/1f6jGntrnUzveKS_6ptVyJCpr3EwRnM_w/view?usp=drivesdk","Dragon Ball GT JumpChain.pdf")</f>
        <v>Dragon Ball GT JumpChain.pdf</v>
      </c>
      <c r="B736" s="12" t="str">
        <f t="shared" si="148"/>
        <v>DriveAnon's 4chan Drive/2. EVERYONE ELSE'S JUMPS/3. Series/Dragon Ball</v>
      </c>
    </row>
    <row r="737">
      <c r="A737" s="12" t="str">
        <f>HYPERLINK("https://drive.google.com/file/d/1ujDWRlbzDBV8nfnwy--kokqMGkTpykwb/view?usp=drivesdk","Dragon Ball Xenoverse JumpChain.pdf")</f>
        <v>Dragon Ball Xenoverse JumpChain.pdf</v>
      </c>
      <c r="B737" s="12" t="str">
        <f t="shared" si="148"/>
        <v>DriveAnon's 4chan Drive/2. EVERYONE ELSE'S JUMPS/3. Series/Dragon Ball</v>
      </c>
    </row>
    <row r="738">
      <c r="A738" s="12" t="str">
        <f>HYPERLINK("https://drive.google.com/file/d/1y5gt4f8MqC4K78aLMQjzloTrVSoUqnDj/view?usp=drivesdk","Dragon Ball Multiverse JumpChain.pdf")</f>
        <v>Dragon Ball Multiverse JumpChain.pdf</v>
      </c>
      <c r="B738" s="12" t="str">
        <f t="shared" si="148"/>
        <v>DriveAnon's 4chan Drive/2. EVERYONE ELSE'S JUMPS/3. Series/Dragon Ball</v>
      </c>
    </row>
    <row r="739">
      <c r="A739" s="12" t="str">
        <f>HYPERLINK("https://drive.google.com/file/d/15OjZFS5FNWBKE0hkOMTRr6rfYuoX7N2g/view?usp=drivesdk","Digimon - Cyber Sleuths.pdf")</f>
        <v>Digimon - Cyber Sleuths.pdf</v>
      </c>
      <c r="B739" s="12" t="str">
        <f t="shared" ref="B739:B752" si="149">HYPERLINK("https://drive.google.com/drive/folders/1-tyHKaLpo1IWbSU7YRiU3AiNnacKW5VB","DriveAnon's 4chan Drive/2. EVERYONE ELSE'S JUMPS/3. Series/Digimon")</f>
        <v>DriveAnon's 4chan Drive/2. EVERYONE ELSE'S JUMPS/3. Series/Digimon</v>
      </c>
    </row>
    <row r="740">
      <c r="A740" s="12" t="str">
        <f>HYPERLINK("https://drive.google.com/file/d/16zx6VFa2idi5qg0pkBN1q7bYDK0-ymHn/view?usp=drivesdk","Digimon Jumpchain.pdf")</f>
        <v>Digimon Jumpchain.pdf</v>
      </c>
      <c r="B740" s="12" t="str">
        <f t="shared" si="149"/>
        <v>DriveAnon's 4chan Drive/2. EVERYONE ELSE'S JUMPS/3. Series/Digimon</v>
      </c>
    </row>
    <row r="741">
      <c r="A741" s="12" t="str">
        <f>HYPERLINK("https://drive.google.com/file/d/1TYdilre3kFDStg4or3qmzsrRl0tNWUWO/view?usp=drivesdk","Digimon Frontier JumpChain.pdf")</f>
        <v>Digimon Frontier JumpChain.pdf</v>
      </c>
      <c r="B741" s="12" t="str">
        <f t="shared" si="149"/>
        <v>DriveAnon's 4chan Drive/2. EVERYONE ELSE'S JUMPS/3. Series/Digimon</v>
      </c>
    </row>
    <row r="742">
      <c r="A742" s="12" t="str">
        <f>HYPERLINK("https://drive.google.com/file/d/13R7zYWOE85YUGU7prG0vgNrdrUBa7Hlq/view?usp=drivesdk","Digimon World DS JumpChain.pdf")</f>
        <v>Digimon World DS JumpChain.pdf</v>
      </c>
      <c r="B742" s="12" t="str">
        <f t="shared" si="149"/>
        <v>DriveAnon's 4chan Drive/2. EVERYONE ELSE'S JUMPS/3. Series/Digimon</v>
      </c>
    </row>
    <row r="743">
      <c r="A743" s="12" t="str">
        <f>HYPERLINK("https://drive.google.com/file/d/18Qmya5VALyIwmEqVhdHvmYZTGQNd5LFW/view?usp=drivesdk","Digimon Tamers JumpChain.pdf")</f>
        <v>Digimon Tamers JumpChain.pdf</v>
      </c>
      <c r="B743" s="12" t="str">
        <f t="shared" si="149"/>
        <v>DriveAnon's 4chan Drive/2. EVERYONE ELSE'S JUMPS/3. Series/Digimon</v>
      </c>
    </row>
    <row r="744">
      <c r="A744" s="12" t="str">
        <f>HYPERLINK("https://drive.google.com/file/d/1AOUf-Nd_R2JPlw3mYeyLFFGbRxDuwog8/view?usp=drivesdk","Digimon Data Squad JumpChain.pdf")</f>
        <v>Digimon Data Squad JumpChain.pdf</v>
      </c>
      <c r="B744" s="12" t="str">
        <f t="shared" si="149"/>
        <v>DriveAnon's 4chan Drive/2. EVERYONE ELSE'S JUMPS/3. Series/Digimon</v>
      </c>
    </row>
    <row r="745">
      <c r="A745" s="12" t="str">
        <f>HYPERLINK("https://drive.google.com/file/d/1F0VNV9QoruPCw9E-4LxujaLCYIn2MMTV/view?usp=drivesdk","Digimon Adventure JumpChain.pdf")</f>
        <v>Digimon Adventure JumpChain.pdf</v>
      </c>
      <c r="B745" s="12" t="str">
        <f t="shared" si="149"/>
        <v>DriveAnon's 4chan Drive/2. EVERYONE ELSE'S JUMPS/3. Series/Digimon</v>
      </c>
    </row>
    <row r="746">
      <c r="A746" s="12" t="str">
        <f>HYPERLINK("https://drive.google.com/file/d/1GM4D0vBYbkU-MFipuugmC567monz6rZM/view?usp=drivesdk","Digimon World 1 JumpChain.pdf")</f>
        <v>Digimon World 1 JumpChain.pdf</v>
      </c>
      <c r="B746" s="12" t="str">
        <f t="shared" si="149"/>
        <v>DriveAnon's 4chan Drive/2. EVERYONE ELSE'S JUMPS/3. Series/Digimon</v>
      </c>
    </row>
    <row r="747">
      <c r="A747" s="12" t="str">
        <f>HYPERLINK("https://drive.google.com/file/d/1IqFleStWaX1NadRqCS2Mz_PwYjfQQV17/view?usp=drivesdk","Digimon Data Squad JumpChain(1).pdf")</f>
        <v>Digimon Data Squad JumpChain(1).pdf</v>
      </c>
      <c r="B747" s="12" t="str">
        <f t="shared" si="149"/>
        <v>DriveAnon's 4chan Drive/2. EVERYONE ELSE'S JUMPS/3. Series/Digimon</v>
      </c>
    </row>
    <row r="748">
      <c r="A748" s="12" t="str">
        <f>HYPERLINK("https://drive.google.com/file/d/1hEHNgIz_Gq8x0uhx1wWdr3wUYr2TQEQI/view?usp=drivesdk","Digimon World 2 JumpChain.pdf")</f>
        <v>Digimon World 2 JumpChain.pdf</v>
      </c>
      <c r="B748" s="12" t="str">
        <f t="shared" si="149"/>
        <v>DriveAnon's 4chan Drive/2. EVERYONE ELSE'S JUMPS/3. Series/Digimon</v>
      </c>
    </row>
    <row r="749">
      <c r="A749" s="12" t="str">
        <f>HYPERLINK("https://drive.google.com/file/d/1hFhI0kihwqwh7MG_qxUxMXWKLP5bJC1v/view?usp=drivesdk","Digimon World 3 JumpChain.pdf")</f>
        <v>Digimon World 3 JumpChain.pdf</v>
      </c>
      <c r="B749" s="12" t="str">
        <f t="shared" si="149"/>
        <v>DriveAnon's 4chan Drive/2. EVERYONE ELSE'S JUMPS/3. Series/Digimon</v>
      </c>
    </row>
    <row r="750">
      <c r="A750" s="12" t="str">
        <f>HYPERLINK("https://drive.google.com/file/d/1iHBMfUwkAPdQX3bTVOwjZH3_dlzxstfs/view?usp=drivesdk","Digimon World Next Order JumpChain.pdf")</f>
        <v>Digimon World Next Order JumpChain.pdf</v>
      </c>
      <c r="B750" s="12" t="str">
        <f t="shared" si="149"/>
        <v>DriveAnon's 4chan Drive/2. EVERYONE ELSE'S JUMPS/3. Series/Digimon</v>
      </c>
    </row>
    <row r="751">
      <c r="A751" s="12" t="str">
        <f>HYPERLINK("https://drive.google.com/file/d/1pWMKODw2m8zA6MjNzizHPty4nXpFLFvA/view?usp=drivesdk","Digimon World Re_ Digitize JumpChain.pdf")</f>
        <v>Digimon World Re_ Digitize JumpChain.pdf</v>
      </c>
      <c r="B751" s="12" t="str">
        <f t="shared" si="149"/>
        <v>DriveAnon's 4chan Drive/2. EVERYONE ELSE'S JUMPS/3. Series/Digimon</v>
      </c>
    </row>
    <row r="752">
      <c r="A752" s="12" t="str">
        <f>HYPERLINK("https://drive.google.com/file/d/1w8bt2VTXpmji8P7Hw_E-K4FkxwjhUUf9/view?usp=drivesdk","Digimon World 4 JumpChain.pdf")</f>
        <v>Digimon World 4 JumpChain.pdf</v>
      </c>
      <c r="B752" s="12" t="str">
        <f t="shared" si="149"/>
        <v>DriveAnon's 4chan Drive/2. EVERYONE ELSE'S JUMPS/3. Series/Digimon</v>
      </c>
    </row>
    <row r="753">
      <c r="A753" s="12" t="str">
        <f>HYPERLINK("https://drive.google.com/file/d/15XHeVxoz8YJ3pmRDagBzzzWuGZndIOan/view?usp=drivesdk","Desolate Era Jumpchain Part I (The Three Realms).pdf")</f>
        <v>Desolate Era Jumpchain Part I (The Three Realms).pdf</v>
      </c>
      <c r="B753" s="12" t="str">
        <f t="shared" ref="B753:B754" si="150">HYPERLINK("https://drive.google.com/drive/folders/1PTcV9EUMC9uJnqe-TngMF8e7rOQgn4pr","DriveAnon's 4chan Drive/2. EVERYONE ELSE'S JUMPS/3. Series/Desolate Era")</f>
        <v>DriveAnon's 4chan Drive/2. EVERYONE ELSE'S JUMPS/3. Series/Desolate Era</v>
      </c>
    </row>
    <row r="754">
      <c r="A754" s="12" t="str">
        <f>HYPERLINK("https://drive.google.com/file/d/1RhAph8HLMCh_ce4Tbhc41c49dAdzcUj-/view?usp=drivesdk","Desolate Era Part II (The Chaosverse).pdf")</f>
        <v>Desolate Era Part II (The Chaosverse).pdf</v>
      </c>
      <c r="B754" s="12" t="str">
        <f t="shared" si="150"/>
        <v>DriveAnon's 4chan Drive/2. EVERYONE ELSE'S JUMPS/3. Series/Desolate Era</v>
      </c>
    </row>
    <row r="755">
      <c r="A755" s="12" t="str">
        <f>HYPERLINK("https://drive.google.com/file/d/1IAbSY4TWZGLcTCgvN6wBzyejW-Gs_Amp/view?usp=drivesdk","Deus Ex Human Revolution Jumpchain.pdf")</f>
        <v>Deus Ex Human Revolution Jumpchain.pdf</v>
      </c>
      <c r="B755" s="12" t="str">
        <f t="shared" ref="B755:B756" si="151">HYPERLINK("https://drive.google.com/drive/folders/1SrXB1fxjK8w22gzViev90IKE-KpQXR-2","DriveAnon's 4chan Drive/2. EVERYONE ELSE'S JUMPS/3. Series/Deus Ex")</f>
        <v>DriveAnon's 4chan Drive/2. EVERYONE ELSE'S JUMPS/3. Series/Deus Ex</v>
      </c>
    </row>
    <row r="756">
      <c r="A756" s="12" t="str">
        <f>HYPERLINK("https://drive.google.com/file/d/1jqmwAjcAwI_P5Zm1eaekYKTuAhLzlIzw/view?usp=drivesdk","Deus Ex JumpChain.pdf")</f>
        <v>Deus Ex JumpChain.pdf</v>
      </c>
      <c r="B756" s="12" t="str">
        <f t="shared" si="151"/>
        <v>DriveAnon's 4chan Drive/2. EVERYONE ELSE'S JUMPS/3. Series/Deus Ex</v>
      </c>
    </row>
    <row r="757">
      <c r="A757" s="12" t="str">
        <f>HYPERLINK("https://drive.google.com/file/d/1k_LACanPIFeZ4PSpm1uFDIYfMBPdtnd9/view?usp=drivesdk","Destiny-The Light JumpChain.pdf")</f>
        <v>Destiny-The Light JumpChain.pdf</v>
      </c>
      <c r="B757" s="12" t="str">
        <f>HYPERLINK("https://drive.google.com/drive/folders/1UrahF_LDGErJAtlH6pMMOv0K_IJYdFq9","DriveAnon's 4chan Drive/2. EVERYONE ELSE'S JUMPS/3. Series/Destiny")</f>
        <v>DriveAnon's 4chan Drive/2. EVERYONE ELSE'S JUMPS/3. Series/Destiny</v>
      </c>
    </row>
    <row r="758">
      <c r="A758" s="12" t="str">
        <f>HYPERLINK("https://drive.google.com/file/d/15RV_mec0SJJq0l6oRSIv-hWUVUAVROJN/view?usp=drivesdk","DC Multiverse -  Earth-11.pdf")</f>
        <v>DC Multiverse -  Earth-11.pdf</v>
      </c>
      <c r="B758" s="12" t="str">
        <f t="shared" ref="B758:B781" si="152">HYPERLINK("https://drive.google.com/drive/folders/1fYLr1Ov5-rQXltsbLk8vzK-pAHT-dwuP","DriveAnon's 4chan Drive/2. EVERYONE ELSE'S JUMPS/3. Series/DC")</f>
        <v>DriveAnon's 4chan Drive/2. EVERYONE ELSE'S JUMPS/3. Series/DC</v>
      </c>
    </row>
    <row r="759">
      <c r="A759" s="12" t="str">
        <f>HYPERLINK("https://drive.google.com/file/d/1nCzmPYHNBKZr-TXgw-R7ZxNYZwc2h4kb/view?usp=drivesdk","DC Comics Collab.pdf")</f>
        <v>DC Comics Collab.pdf</v>
      </c>
      <c r="B759" s="12" t="str">
        <f t="shared" si="152"/>
        <v>DriveAnon's 4chan Drive/2. EVERYONE ELSE'S JUMPS/3. Series/DC</v>
      </c>
    </row>
    <row r="760">
      <c r="A760" s="12" t="str">
        <f>HYPERLINK("https://drive.google.com/file/d/1hqbSPC1TLjGI0iMR4u-QyTlvsBF7SC7I/view?usp=drivesdk","The Batman.pdf")</f>
        <v>The Batman.pdf</v>
      </c>
      <c r="B760" s="12" t="str">
        <f t="shared" si="152"/>
        <v>DriveAnon's 4chan Drive/2. EVERYONE ELSE'S JUMPS/3. Series/DC</v>
      </c>
    </row>
    <row r="761">
      <c r="A761" s="12" t="str">
        <f>HYPERLINK("https://drive.google.com/file/d/1dVMgMd7J6498F0jKtyKPSzsqdK1kERAB/view?usp=drivesdk","DC - Earth 2.pdf")</f>
        <v>DC - Earth 2.pdf</v>
      </c>
      <c r="B761" s="12" t="str">
        <f t="shared" si="152"/>
        <v>DriveAnon's 4chan Drive/2. EVERYONE ELSE'S JUMPS/3. Series/DC</v>
      </c>
    </row>
    <row r="762">
      <c r="A762" s="12" t="str">
        <f>HYPERLINK("https://drive.google.com/file/d/1k-mmTGpStVtNr4Lg6UpeklfIaDlKyRpe/view?usp=drivesdk","DC Universe Online.pdf")</f>
        <v>DC Universe Online.pdf</v>
      </c>
      <c r="B762" s="12" t="str">
        <f t="shared" si="152"/>
        <v>DriveAnon's 4chan Drive/2. EVERYONE ELSE'S JUMPS/3. Series/DC</v>
      </c>
    </row>
    <row r="763">
      <c r="A763" s="12" t="str">
        <f>HYPERLINK("https://drive.google.com/file/d/14HBmA98XTREPiYK7LnA4q22kylH2Aqx5/view?usp=drivesdk","GREEN LANTERN THE ANIMATED SERIES Jumpchain.pdf")</f>
        <v>GREEN LANTERN THE ANIMATED SERIES Jumpchain.pdf</v>
      </c>
      <c r="B763" s="12" t="str">
        <f t="shared" si="152"/>
        <v>DriveAnon's 4chan Drive/2. EVERYONE ELSE'S JUMPS/3. Series/DC</v>
      </c>
    </row>
    <row r="764">
      <c r="A764" s="12" t="str">
        <f>HYPERLINK("https://drive.google.com/file/d/16FGsdNNtB9ND10_jEgqdHaF_icBatRgo/view?usp=drivesdk","Batman-The Dark Knight Trilogy JumpChain.pdf")</f>
        <v>Batman-The Dark Knight Trilogy JumpChain.pdf</v>
      </c>
      <c r="B764" s="12" t="str">
        <f t="shared" si="152"/>
        <v>DriveAnon's 4chan Drive/2. EVERYONE ELSE'S JUMPS/3. Series/DC</v>
      </c>
    </row>
    <row r="765">
      <c r="A765" s="12" t="str">
        <f>HYPERLINK("https://drive.google.com/file/d/176qx9ga1d0huI3gltiDA0qIu4yCa1l8o/view?usp=drivesdk","Injustice JumpChain.pdf")</f>
        <v>Injustice JumpChain.pdf</v>
      </c>
      <c r="B765" s="12" t="str">
        <f t="shared" si="152"/>
        <v>DriveAnon's 4chan Drive/2. EVERYONE ELSE'S JUMPS/3. Series/DC</v>
      </c>
    </row>
    <row r="766">
      <c r="A766" s="12" t="str">
        <f>HYPERLINK("https://drive.google.com/file/d/17Ab9Q1DuT7Btzyf0OpIwZRHXbCXjraq0/view?usp=drivesdk","DC The Fourth World JumpChain.pdf")</f>
        <v>DC The Fourth World JumpChain.pdf</v>
      </c>
      <c r="B766" s="12" t="str">
        <f t="shared" si="152"/>
        <v>DriveAnon's 4chan Drive/2. EVERYONE ELSE'S JUMPS/3. Series/DC</v>
      </c>
    </row>
    <row r="767">
      <c r="A767" s="12" t="str">
        <f>HYPERLINK("https://drive.google.com/file/d/1MoI0AbzIvuA_DEa2GVdcqHYuQOMk785C/view?usp=drivesdk","All-Star Superman JumpChain.pdf")</f>
        <v>All-Star Superman JumpChain.pdf</v>
      </c>
      <c r="B767" s="12" t="str">
        <f t="shared" si="152"/>
        <v>DriveAnon's 4chan Drive/2. EVERYONE ELSE'S JUMPS/3. Series/DC</v>
      </c>
    </row>
    <row r="768">
      <c r="A768" s="12" t="str">
        <f>HYPERLINK("https://drive.google.com/file/d/1N25rznpc2tf2zqkOBs1XRQ-K1a-hpcaS/view?usp=drivesdk","Kingdom Come JumpChain.pdf")</f>
        <v>Kingdom Come JumpChain.pdf</v>
      </c>
      <c r="B768" s="12" t="str">
        <f t="shared" si="152"/>
        <v>DriveAnon's 4chan Drive/2. EVERYONE ELSE'S JUMPS/3. Series/DC</v>
      </c>
    </row>
    <row r="769">
      <c r="A769" s="12" t="str">
        <f>HYPERLINK("https://drive.google.com/file/d/1NaXVo6-c8U-H9fknagm-xyx3ID7oPXMb/view?usp=drivesdk","DC Occult JumpChain.pdf")</f>
        <v>DC Occult JumpChain.pdf</v>
      </c>
      <c r="B769" s="12" t="str">
        <f t="shared" si="152"/>
        <v>DriveAnon's 4chan Drive/2. EVERYONE ELSE'S JUMPS/3. Series/DC</v>
      </c>
    </row>
    <row r="770">
      <c r="A770" s="12" t="str">
        <f>HYPERLINK("https://drive.google.com/file/d/1RKPCx7DbRSPgjCrh7X07Q_kWmwm685ps/view?usp=drivesdk","DC - Superman the Animated Series JumpChain.pdf")</f>
        <v>DC - Superman the Animated Series JumpChain.pdf</v>
      </c>
      <c r="B770" s="12" t="str">
        <f t="shared" si="152"/>
        <v>DriveAnon's 4chan Drive/2. EVERYONE ELSE'S JUMPS/3. Series/DC</v>
      </c>
    </row>
    <row r="771">
      <c r="A771" s="12" t="str">
        <f>HYPERLINK("https://drive.google.com/file/d/1SURY98B1wJF3KXh_kCAeq8sTv8xfRyVP/view?usp=drivesdk","Justice League Unlimited JumpChain.pdf")</f>
        <v>Justice League Unlimited JumpChain.pdf</v>
      </c>
      <c r="B771" s="12" t="str">
        <f t="shared" si="152"/>
        <v>DriveAnon's 4chan Drive/2. EVERYONE ELSE'S JUMPS/3. Series/DC</v>
      </c>
    </row>
    <row r="772">
      <c r="A772" s="12" t="str">
        <f>HYPERLINK("https://drive.google.com/file/d/1UdOttF7fQ__3EWfyNnlCPKs6t0XihDxt/view?usp=drivesdk","DC - Arrowverse JumpChain.pdf")</f>
        <v>DC - Arrowverse JumpChain.pdf</v>
      </c>
      <c r="B772" s="12" t="str">
        <f t="shared" si="152"/>
        <v>DriveAnon's 4chan Drive/2. EVERYONE ELSE'S JUMPS/3. Series/DC</v>
      </c>
    </row>
    <row r="773">
      <c r="A773" s="12" t="str">
        <f>HYPERLINK("https://drive.google.com/file/d/1ZKifOSVeu6tJCeUGFz_nuUbOLZwnZmo-/view?usp=drivesdk","DCEU JumpChain.pdf")</f>
        <v>DCEU JumpChain.pdf</v>
      </c>
      <c r="B773" s="12" t="str">
        <f t="shared" si="152"/>
        <v>DriveAnon's 4chan Drive/2. EVERYONE ELSE'S JUMPS/3. Series/DC</v>
      </c>
    </row>
    <row r="774">
      <c r="A774" s="12" t="str">
        <f>HYPERLINK("https://drive.google.com/file/d/1duSJnkTiDoIhWPwnxQW16S_Pjj0CHJLl/view?usp=drivesdk","DC - Blackest Night JumpChain.pdf")</f>
        <v>DC - Blackest Night JumpChain.pdf</v>
      </c>
      <c r="B774" s="12" t="str">
        <f t="shared" si="152"/>
        <v>DriveAnon's 4chan Drive/2. EVERYONE ELSE'S JUMPS/3. Series/DC</v>
      </c>
    </row>
    <row r="775">
      <c r="A775" s="12" t="str">
        <f>HYPERLINK("https://drive.google.com/file/d/1hCj6OxSX2yhFBvPyjegEtpjDJHPvSaqy/view?usp=drivesdk","Justice League Dark JumpChain.pdf")</f>
        <v>Justice League Dark JumpChain.pdf</v>
      </c>
      <c r="B775" s="12" t="str">
        <f t="shared" si="152"/>
        <v>DriveAnon's 4chan Drive/2. EVERYONE ELSE'S JUMPS/3. Series/DC</v>
      </c>
    </row>
    <row r="776">
      <c r="A776" s="12" t="str">
        <f>HYPERLINK("https://drive.google.com/file/d/1kUhcsqdspgQ4IHUCN4tCf_pX_FJC_Ymg/view?usp=drivesdk","DC - Batman the Animated Series JumpChain.pdf")</f>
        <v>DC - Batman the Animated Series JumpChain.pdf</v>
      </c>
      <c r="B776" s="12" t="str">
        <f t="shared" si="152"/>
        <v>DriveAnon's 4chan Drive/2. EVERYONE ELSE'S JUMPS/3. Series/DC</v>
      </c>
    </row>
    <row r="777">
      <c r="A777" s="12" t="str">
        <f>HYPERLINK("https://drive.google.com/file/d/1qcC-O58hSf8qM71wtpgrmvF-V1LnbVgO/view?usp=drivesdk","DC JumpChain.pdf")</f>
        <v>DC JumpChain.pdf</v>
      </c>
      <c r="B777" s="12" t="str">
        <f t="shared" si="152"/>
        <v>DriveAnon's 4chan Drive/2. EVERYONE ELSE'S JUMPS/3. Series/DC</v>
      </c>
    </row>
    <row r="778">
      <c r="A778" s="12" t="str">
        <f>HYPERLINK("https://drive.google.com/file/d/1sSljAM3kU-FvSW066uSyiF9buWohL07o/view?usp=drivesdk","DC - Batman Beyond JumpChain.pdf")</f>
        <v>DC - Batman Beyond JumpChain.pdf</v>
      </c>
      <c r="B778" s="12" t="str">
        <f t="shared" si="152"/>
        <v>DriveAnon's 4chan Drive/2. EVERYONE ELSE'S JUMPS/3. Series/DC</v>
      </c>
    </row>
    <row r="779">
      <c r="A779" s="12" t="str">
        <f>HYPERLINK("https://drive.google.com/file/d/1setCscW_S0d_PBAKAbysv01cVMMJkFLT/view?usp=drivesdk","DC - Larfleeze JumpChain.pdf")</f>
        <v>DC - Larfleeze JumpChain.pdf</v>
      </c>
      <c r="B779" s="12" t="str">
        <f t="shared" si="152"/>
        <v>DriveAnon's 4chan Drive/2. EVERYONE ELSE'S JUMPS/3. Series/DC</v>
      </c>
    </row>
    <row r="780">
      <c r="A780" s="12" t="str">
        <f>HYPERLINK("https://drive.google.com/file/d/1t_Vez-ZSSwd8qM73C1Wq4o9cI0uSCfPE/view?usp=drivesdk","Young Justice JumpChain.pdf")</f>
        <v>Young Justice JumpChain.pdf</v>
      </c>
      <c r="B780" s="12" t="str">
        <f t="shared" si="152"/>
        <v>DriveAnon's 4chan Drive/2. EVERYONE ELSE'S JUMPS/3. Series/DC</v>
      </c>
    </row>
    <row r="781">
      <c r="A781" s="12" t="str">
        <f>HYPERLINK("https://drive.google.com/file/d/1wqrEqQr-aBfPe7ssrhozI576TtJfkqXa/view?usp=drivesdk","Batman- Arkham Asylum JumpChain.pdf")</f>
        <v>Batman- Arkham Asylum JumpChain.pdf</v>
      </c>
      <c r="B781" s="12" t="str">
        <f t="shared" si="152"/>
        <v>DriveAnon's 4chan Drive/2. EVERYONE ELSE'S JUMPS/3. Series/DC</v>
      </c>
    </row>
    <row r="782">
      <c r="A782" s="12" t="str">
        <f>HYPERLINK("https://drive.google.com/file/d/18DHGVbEmhMEGPXhDhJbZi19nh3tTeReP/view?usp=drivesdk","Teen Titans JumpChain [Text Version].pdf")</f>
        <v>Teen Titans JumpChain [Text Version].pdf</v>
      </c>
      <c r="B782" s="12" t="str">
        <f t="shared" ref="B782:B784" si="153">HYPERLINK("https://drive.google.com/drive/folders/1JfR65TY-MW6yLt_E7hCqpF8PtMwgcTkS","DriveAnon's 4chan Drive/2. EVERYONE ELSE'S JUMPS/3. Series/DC/Teen Titans")</f>
        <v>DriveAnon's 4chan Drive/2. EVERYONE ELSE'S JUMPS/3. Series/DC/Teen Titans</v>
      </c>
    </row>
    <row r="783">
      <c r="A783" s="12" t="str">
        <f>HYPERLINK("https://drive.google.com/file/d/1TLA6bJ6-S53pHp9jSXWMc3sAwDmXsfCJ/view?usp=drivesdk","Teen Titans JumpChain.pdf")</f>
        <v>Teen Titans JumpChain.pdf</v>
      </c>
      <c r="B783" s="12" t="str">
        <f t="shared" si="153"/>
        <v>DriveAnon's 4chan Drive/2. EVERYONE ELSE'S JUMPS/3. Series/DC/Teen Titans</v>
      </c>
    </row>
    <row r="784">
      <c r="A784" s="12" t="str">
        <f>HYPERLINK("https://drive.google.com/file/d/1bvohlliyfCu6B_rHpZMM9eQFvlZE_QwN/view?usp=drivesdk","Teen Titans JumpChain - Power Combination Supplement.pdf")</f>
        <v>Teen Titans JumpChain - Power Combination Supplement.pdf</v>
      </c>
      <c r="B784" s="12" t="str">
        <f t="shared" si="153"/>
        <v>DriveAnon's 4chan Drive/2. EVERYONE ELSE'S JUMPS/3. Series/DC/Teen Titans</v>
      </c>
    </row>
    <row r="785">
      <c r="A785" s="12" t="str">
        <f>HYPERLINK("https://drive.google.com/file/d/152WfbOASNX3pk4tYNsQqiCG8psPe55aK/view?usp=drivesdk","Dark Souls 2 JumpChain.pdf")</f>
        <v>Dark Souls 2 JumpChain.pdf</v>
      </c>
      <c r="B785" s="12" t="str">
        <f t="shared" ref="B785:B788" si="154">HYPERLINK("https://drive.google.com/drive/folders/1grQ39_7MnJUGWtS4Am0FF7m8sqOYuCl8","DriveAnon's 4chan Drive/2. EVERYONE ELSE'S JUMPS/3. Series/Dark Souls")</f>
        <v>DriveAnon's 4chan Drive/2. EVERYONE ELSE'S JUMPS/3. Series/Dark Souls</v>
      </c>
    </row>
    <row r="786">
      <c r="A786" s="12" t="str">
        <f>HYPERLINK("https://drive.google.com/file/d/1PRYU0qms3REBylUCY374xtyQ0MR2KnM_/view?usp=drivesdk","Dark Souls 3 JumpChain.pdf")</f>
        <v>Dark Souls 3 JumpChain.pdf</v>
      </c>
      <c r="B786" s="12" t="str">
        <f t="shared" si="154"/>
        <v>DriveAnon's 4chan Drive/2. EVERYONE ELSE'S JUMPS/3. Series/Dark Souls</v>
      </c>
    </row>
    <row r="787">
      <c r="A787" s="12" t="str">
        <f>HYPERLINK("https://drive.google.com/file/d/1lzuAW6pxbcg8IoPmkEOevFYv0UT_4C6k/view?usp=drivesdk","Dark Souls (Outdated) Jumpchain.pdf")</f>
        <v>Dark Souls (Outdated) Jumpchain.pdf</v>
      </c>
      <c r="B787" s="12" t="str">
        <f t="shared" si="154"/>
        <v>DriveAnon's 4chan Drive/2. EVERYONE ELSE'S JUMPS/3. Series/Dark Souls</v>
      </c>
    </row>
    <row r="788">
      <c r="A788" s="12" t="str">
        <f>HYPERLINK("https://drive.google.com/file/d/1rB7dNKnMKaZs3jsExSdye4Y1oTpNm5ZI/view?usp=drivesdk","Dark Souls 1 JumpChain.pdf")</f>
        <v>Dark Souls 1 JumpChain.pdf</v>
      </c>
      <c r="B788" s="12" t="str">
        <f t="shared" si="154"/>
        <v>DriveAnon's 4chan Drive/2. EVERYONE ELSE'S JUMPS/3. Series/Dark Souls</v>
      </c>
    </row>
    <row r="789">
      <c r="A789" s="12" t="str">
        <f>HYPERLINK("https://drive.google.com/file/d/1Ju-Sk50F9x18CTN0yNcGyCO9spnDVoMN/view?usp=drivesdk","Dishonored 2 Part 1 _ 2 JumpChain.pdf")</f>
        <v>Dishonored 2 Part 1 _ 2 JumpChain.pdf</v>
      </c>
      <c r="B789" s="12" t="str">
        <f t="shared" ref="B789:B790" si="155">HYPERLINK("https://drive.google.com/drive/folders/1sgHkPKPtEAUesYCgAgbZEgPzwvEkC-Wt","DriveAnon's 4chan Drive/2. EVERYONE ELSE'S JUMPS/3. Series/Dishonored")</f>
        <v>DriveAnon's 4chan Drive/2. EVERYONE ELSE'S JUMPS/3. Series/Dishonored</v>
      </c>
    </row>
    <row r="790">
      <c r="A790" s="12" t="str">
        <f>HYPERLINK("https://drive.google.com/file/d/1ylTLJCtgze_ZEft8VixFhdkiKonfQOld/view?usp=drivesdk","Dishonored JumpChain.pdf")</f>
        <v>Dishonored JumpChain.pdf</v>
      </c>
      <c r="B790" s="12" t="str">
        <f t="shared" si="155"/>
        <v>DriveAnon's 4chan Drive/2. EVERYONE ELSE'S JUMPS/3. Series/Dishonored</v>
      </c>
    </row>
    <row r="791">
      <c r="A791" s="12" t="str">
        <f>HYPERLINK("https://drive.google.com/file/d/15sVmQ1F68WtonW9j9dO06cTPke1cKDCX/view?usp=drivesdk","Dinotopia JumpChain.pdf")</f>
        <v>Dinotopia JumpChain.pdf</v>
      </c>
      <c r="B791" s="12" t="str">
        <f t="shared" ref="B791:B792" si="156">HYPERLINK("https://drive.google.com/drive/folders/1yxym2ChT4hf7-7Vj00AHXfrhrtcIrPJU","DriveAnon's 4chan Drive/2. EVERYONE ELSE'S JUMPS/3. Series/Dinotopia")</f>
        <v>DriveAnon's 4chan Drive/2. EVERYONE ELSE'S JUMPS/3. Series/Dinotopia</v>
      </c>
    </row>
    <row r="792">
      <c r="A792" s="12" t="str">
        <f>HYPERLINK("https://drive.google.com/file/d/1sHVkVFc1OcZaPid6pbUXD3P2UZXi04UB/view?usp=drivesdk","Dinotopia (Books) JumpChain.pdf")</f>
        <v>Dinotopia (Books) JumpChain.pdf</v>
      </c>
      <c r="B792" s="12" t="str">
        <f t="shared" si="156"/>
        <v>DriveAnon's 4chan Drive/2. EVERYONE ELSE'S JUMPS/3. Series/Dinotopia</v>
      </c>
    </row>
    <row r="793">
      <c r="A793" s="12" t="str">
        <f>HYPERLINK("https://drive.google.com/file/d/1-HKUewu5yZMd4UqKpggD6sB4GBZDCjZV/view?usp=drivesdk","Civilization V Peace Walker JumpChain.pdf")</f>
        <v>Civilization V Peace Walker JumpChain.pdf</v>
      </c>
      <c r="B793" s="12" t="str">
        <f t="shared" ref="B793:B796" si="157">HYPERLINK("https://drive.google.com/drive/folders/1mRvY8AzEyeBsxUN97h1LSfGDlVhcuNG3","DriveAnon's 4chan Drive/2. EVERYONE ELSE'S JUMPS/3. Series/Crossover")</f>
        <v>DriveAnon's 4chan Drive/2. EVERYONE ELSE'S JUMPS/3. Series/Crossover</v>
      </c>
    </row>
    <row r="794">
      <c r="A794" s="12" t="str">
        <f>HYPERLINK("https://drive.google.com/file/d/1KGTSFBMGlLd_mF3wCZQmaEqGK5g-g6VB/view?usp=drivesdk","CoCo_s Bizarre Adventure JumpChain.pdf")</f>
        <v>CoCo_s Bizarre Adventure JumpChain.pdf</v>
      </c>
      <c r="B794" s="12" t="str">
        <f t="shared" si="157"/>
        <v>DriveAnon's 4chan Drive/2. EVERYONE ELSE'S JUMPS/3. Series/Crossover</v>
      </c>
    </row>
    <row r="795">
      <c r="A795" s="12" t="str">
        <f>HYPERLINK("https://drive.google.com/file/d/1dUtjWPRHg11AtLK643GN7gdmHJGrJxEY/view?usp=drivesdk","Hazredous Interruptions JumpChain.pdf")</f>
        <v>Hazredous Interruptions JumpChain.pdf</v>
      </c>
      <c r="B795" s="12" t="str">
        <f t="shared" si="157"/>
        <v>DriveAnon's 4chan Drive/2. EVERYONE ELSE'S JUMPS/3. Series/Crossover</v>
      </c>
    </row>
    <row r="796">
      <c r="A796" s="12" t="str">
        <f>HYPERLINK("https://drive.google.com/file/d/1mTKT0VSD6IFTV85ZHOdV0nsOPiURqhaJ/view?usp=drivesdk","Reaper Hunter JumpChain.pdf")</f>
        <v>Reaper Hunter JumpChain.pdf</v>
      </c>
      <c r="B796" s="12" t="str">
        <f t="shared" si="157"/>
        <v>DriveAnon's 4chan Drive/2. EVERYONE ELSE'S JUMPS/3. Series/Crossover</v>
      </c>
    </row>
    <row r="797">
      <c r="A797" s="12" t="str">
        <f>HYPERLINK("https://drive.google.com/file/d/1-dYWTyVez-yunrpHp4JPNqp4CPLR6Gxd/view?usp=drivesdk","Coiling Dragon, Part Two.pdf")</f>
        <v>Coiling Dragon, Part Two.pdf</v>
      </c>
      <c r="B797" s="12" t="str">
        <f t="shared" ref="B797:B798" si="158">HYPERLINK("https://drive.google.com/drive/folders/19cBu5K3REiqg1YrYDtIcNDClcptoZEvx","DriveAnon's 4chan Drive/2. EVERYONE ELSE'S JUMPS/3. Series/Coiling Dragon")</f>
        <v>DriveAnon's 4chan Drive/2. EVERYONE ELSE'S JUMPS/3. Series/Coiling Dragon</v>
      </c>
    </row>
    <row r="798">
      <c r="A798" s="12" t="str">
        <f>HYPERLINK("https://drive.google.com/file/d/18ZgCj9SjvO65ypBep6tVWAT3dCNgm8x8/view?usp=drivesdk","Coiling Dragon Part One JumpChain.pdf")</f>
        <v>Coiling Dragon Part One JumpChain.pdf</v>
      </c>
      <c r="B798" s="12" t="str">
        <f t="shared" si="158"/>
        <v>DriveAnon's 4chan Drive/2. EVERYONE ELSE'S JUMPS/3. Series/Coiling Dragon</v>
      </c>
    </row>
    <row r="799">
      <c r="A799" s="12" t="str">
        <f>HYPERLINK("https://drive.google.com/file/d/17EKrOenaOxndzjAhy5a8X5jIGbDXl5VA/view?usp=drivesdk","Stellar Transformations, Part 1 - Mortal Realm.pdf")</f>
        <v>Stellar Transformations, Part 1 - Mortal Realm.pdf</v>
      </c>
      <c r="B799" s="12" t="str">
        <f t="shared" ref="B799:B800" si="159">HYPERLINK("https://drive.google.com/drive/folders/1JTRuah7MZswNiAk3eVlU1GbwfL2xyPoE","DriveAnon's 4chan Drive/2. EVERYONE ELSE'S JUMPS/3. Series/Coiling Dragon/Stellar Transformations")</f>
        <v>DriveAnon's 4chan Drive/2. EVERYONE ELSE'S JUMPS/3. Series/Coiling Dragon/Stellar Transformations</v>
      </c>
    </row>
    <row r="800">
      <c r="A800" s="12" t="str">
        <f>HYPERLINK("https://drive.google.com/file/d/1MGfLpwikAZk_9dWAKkRtMe7F7izw7hd2/view?usp=drivesdk","Stellar Transformations, Part 2 - Immortal and Divine Realm.pdf")</f>
        <v>Stellar Transformations, Part 2 - Immortal and Divine Realm.pdf</v>
      </c>
      <c r="B800" s="12" t="str">
        <f t="shared" si="159"/>
        <v>DriveAnon's 4chan Drive/2. EVERYONE ELSE'S JUMPS/3. Series/Coiling Dragon/Stellar Transformations</v>
      </c>
    </row>
    <row r="801">
      <c r="A801" s="12" t="str">
        <f>HYPERLINK("https://drive.google.com/file/d/1RP3gy2ZRFwYFC2l-RuzCLctj9DnyUHbt/view?usp=drivesdk","2. Code Geass JumpChain.pdf")</f>
        <v>2. Code Geass JumpChain.pdf</v>
      </c>
      <c r="B801" s="12" t="str">
        <f t="shared" ref="B801:B802" si="160">HYPERLINK("https://drive.google.com/drive/folders/1IKI7TWBQNNBB16NyFUmdVsIACc6WlF89","DriveAnon's 4chan Drive/2. EVERYONE ELSE'S JUMPS/3. Series/Code Geass")</f>
        <v>DriveAnon's 4chan Drive/2. EVERYONE ELSE'S JUMPS/3. Series/Code Geass</v>
      </c>
    </row>
    <row r="802">
      <c r="A802" s="12" t="str">
        <f>HYPERLINK("https://drive.google.com/file/d/1cGBH3EL2JsB6BOFrWPsFzmGrTjobDLUQ/view?usp=drivesdk","1. Code Geass JumpChain.pdf")</f>
        <v>1. Code Geass JumpChain.pdf</v>
      </c>
      <c r="B802" s="12" t="str">
        <f t="shared" si="160"/>
        <v>DriveAnon's 4chan Drive/2. EVERYONE ELSE'S JUMPS/3. Series/Code Geass</v>
      </c>
    </row>
    <row r="803">
      <c r="A803" s="12" t="str">
        <f>HYPERLINK("https://drive.google.com/file/d/12GpkWwrz-6JnN4Ln5JojeFTAkH5I9oG1/view?usp=drivesdk","Bioshock Jumpchain CYOA.pdf")</f>
        <v>Bioshock Jumpchain CYOA.pdf</v>
      </c>
      <c r="B803" s="12" t="str">
        <f t="shared" ref="B803:B805" si="161">HYPERLINK("https://drive.google.com/drive/folders/1VWEf8mZHB6ubQFLtdMCxgSBSsH8sY0zp","DriveAnon's 4chan Drive/2. EVERYONE ELSE'S JUMPS/3. Series/Bioshock")</f>
        <v>DriveAnon's 4chan Drive/2. EVERYONE ELSE'S JUMPS/3. Series/Bioshock</v>
      </c>
    </row>
    <row r="804">
      <c r="A804" s="12" t="str">
        <f>HYPERLINK("https://drive.google.com/file/d/1Cn-a2_hWPaW8T_MadCDgl22KD4egxi-7/view?usp=drivesdk","Bioshock 2 JumpChain.pdf")</f>
        <v>Bioshock 2 JumpChain.pdf</v>
      </c>
      <c r="B804" s="12" t="str">
        <f t="shared" si="161"/>
        <v>DriveAnon's 4chan Drive/2. EVERYONE ELSE'S JUMPS/3. Series/Bioshock</v>
      </c>
    </row>
    <row r="805">
      <c r="A805" s="12" t="str">
        <f>HYPERLINK("https://drive.google.com/file/d/1wITZ7VpxKsGN1izrAK3ZU28hqlTev1LG/view?usp=drivesdk","Bioshock Infinite JumpChain.pdf")</f>
        <v>Bioshock Infinite JumpChain.pdf</v>
      </c>
      <c r="B805" s="12" t="str">
        <f t="shared" si="161"/>
        <v>DriveAnon's 4chan Drive/2. EVERYONE ELSE'S JUMPS/3. Series/Bioshock</v>
      </c>
    </row>
    <row r="806">
      <c r="A806" s="12" t="str">
        <f>HYPERLINK("https://drive.google.com/file/d/1-zzKkfZyEYHNzeoxqDw2Zn3vTuBD-CZA/view?usp=drivesdk","Bloodborne JumpChain.pdf")</f>
        <v>Bloodborne JumpChain.pdf</v>
      </c>
      <c r="B806" s="12" t="str">
        <f t="shared" ref="B806:B807" si="162">HYPERLINK("https://drive.google.com/drive/folders/13tmoc7VIcGDl5fBtLBDvAFH6jxZ9G6na","DriveAnon's 4chan Drive/2. EVERYONE ELSE'S JUMPS/3. Series/Bloodborne")</f>
        <v>DriveAnon's 4chan Drive/2. EVERYONE ELSE'S JUMPS/3. Series/Bloodborne</v>
      </c>
    </row>
    <row r="807">
      <c r="A807" s="12" t="str">
        <f>HYPERLINK("https://drive.google.com/file/d/1vXCguIcTkmxMCVOATtN2aO_tsO0roMAQ/view?usp=drivesdk","Bloodborne JumpChain (Black).pdf")</f>
        <v>Bloodborne JumpChain (Black).pdf</v>
      </c>
      <c r="B807" s="12" t="str">
        <f t="shared" si="162"/>
        <v>DriveAnon's 4chan Drive/2. EVERYONE ELSE'S JUMPS/3. Series/Bloodborne</v>
      </c>
    </row>
    <row r="808">
      <c r="A808" s="12" t="str">
        <f>HYPERLINK("https://drive.google.com/file/d/1CdlGLr-CSjJJ2QYwbie2ToTbjqy7KqQJ/view?usp=drivesdk","Bleach (Valeria and NuBee Version).pdf")</f>
        <v>Bleach (Valeria and NuBee Version).pdf</v>
      </c>
      <c r="B808" s="12" t="str">
        <f t="shared" ref="B808:B811" si="163">HYPERLINK("https://drive.google.com/drive/folders/14TcsjjNHFzSOnSowHMD6WgiIeHIYqYGz","DriveAnon's 4chan Drive/2. EVERYONE ELSE'S JUMPS/3. Series/Bleach")</f>
        <v>DriveAnon's 4chan Drive/2. EVERYONE ELSE'S JUMPS/3. Series/Bleach</v>
      </c>
    </row>
    <row r="809">
      <c r="A809" s="12" t="str">
        <f>HYPERLINK("https://drive.google.com/file/d/1l7nmlDQ2UphUsUYgZdjtuEZRzSfqttG0/view?usp=drivesdk","Bleach JumpChain.pdf")</f>
        <v>Bleach JumpChain.pdf</v>
      </c>
      <c r="B809" s="12" t="str">
        <f t="shared" si="163"/>
        <v>DriveAnon's 4chan Drive/2. EVERYONE ELSE'S JUMPS/3. Series/Bleach</v>
      </c>
    </row>
    <row r="810">
      <c r="A810" s="12" t="str">
        <f>HYPERLINK("https://drive.google.com/file/d/1GAZpBoCVnSod65o3yA2KbknUoh1Pres8/view?usp=drivesdk","Bleach - Reborn Remake Supplement.pdf")</f>
        <v>Bleach - Reborn Remake Supplement.pdf</v>
      </c>
      <c r="B810" s="12" t="str">
        <f t="shared" si="163"/>
        <v>DriveAnon's 4chan Drive/2. EVERYONE ELSE'S JUMPS/3. Series/Bleach</v>
      </c>
    </row>
    <row r="811">
      <c r="A811" s="12" t="str">
        <f>HYPERLINK("https://drive.google.com/file/d/1meigGxouTbcG74LL6sZXyrVh1l9LkZAk/view?usp=drivesdk","Bleach - Reborn Remake.pdf")</f>
        <v>Bleach - Reborn Remake.pdf</v>
      </c>
      <c r="B811" s="12" t="str">
        <f t="shared" si="163"/>
        <v>DriveAnon's 4chan Drive/2. EVERYONE ELSE'S JUMPS/3. Series/Bleach</v>
      </c>
    </row>
    <row r="812">
      <c r="A812" s="12" t="str">
        <f>HYPERLINK("https://drive.google.com/file/d/1O1S_grC5u8oopc-0-fPVfKuDinuK0dYK/view?usp=drivesdk","GHQJ Powers Supplement.pdf")</f>
        <v>GHQJ Powers Supplement.pdf</v>
      </c>
      <c r="B812" s="12" t="str">
        <f t="shared" ref="B812:B813" si="164">HYPERLINK("https://drive.google.com/drive/folders/12nYuitK6gwA9ODZIEA_ZIS8rQS7HDLmi","DriveAnon's 4chan Drive/2. EVERYONE ELSE'S JUMPS/3. Series/Bleach/German Hollow Quest")</f>
        <v>DriveAnon's 4chan Drive/2. EVERYONE ELSE'S JUMPS/3. Series/Bleach/German Hollow Quest</v>
      </c>
    </row>
    <row r="813">
      <c r="A813" s="12" t="str">
        <f>HYPERLINK("https://drive.google.com/file/d/1qyJ_aAl5O-cqUpEmgSkbs7uM1DFCh5IX/view?usp=drivesdk","GHQ JumpChain.pdf")</f>
        <v>GHQ JumpChain.pdf</v>
      </c>
      <c r="B813" s="12" t="str">
        <f t="shared" si="164"/>
        <v>DriveAnon's 4chan Drive/2. EVERYONE ELSE'S JUMPS/3. Series/Bleach/German Hollow Quest</v>
      </c>
    </row>
    <row r="814">
      <c r="A814" s="12" t="str">
        <f>HYPERLINK("https://drive.google.com/file/d/1oht3xar6iYyJr-gugcee2AyUE4XyyQaY/view?usp=drivesdk","Campione JumpChain.pdf")</f>
        <v>Campione JumpChain.pdf</v>
      </c>
      <c r="B814" s="12" t="str">
        <f t="shared" ref="B814:B815" si="165">HYPERLINK("https://drive.google.com/drive/folders/19rgmgzxw5v0b-9VK3LxeQlnRxn6ZNUDx","DriveAnon's 4chan Drive/2. EVERYONE ELSE'S JUMPS/3. Series/Campione")</f>
        <v>DriveAnon's 4chan Drive/2. EVERYONE ELSE'S JUMPS/3. Series/Campione</v>
      </c>
    </row>
    <row r="815">
      <c r="A815" s="12" t="str">
        <f>HYPERLINK("https://drive.google.com/file/d/1BRyxKXplG4MAEKCeMtp7owJVijaAQ_CA/view?usp=drivesdk","Campione DLC.pdf")</f>
        <v>Campione DLC.pdf</v>
      </c>
      <c r="B815" s="12" t="str">
        <f t="shared" si="165"/>
        <v>DriveAnon's 4chan Drive/2. EVERYONE ELSE'S JUMPS/3. Series/Campione</v>
      </c>
    </row>
    <row r="816">
      <c r="A816" s="12" t="str">
        <f>HYPERLINK("https://drive.google.com/file/d/10kMjOyF8zCkFxUn6hkGFwS0njzudEksE/view?usp=drivesdk","Call of Duty Zombies JumpChain.pdf")</f>
        <v>Call of Duty Zombies JumpChain.pdf</v>
      </c>
      <c r="B816" s="12" t="str">
        <f t="shared" ref="B816:B818" si="166">HYPERLINK("https://drive.google.com/drive/folders/1RJ-CajL8Hj7BU1md_2CQHOzAVTcrRf7s","DriveAnon's 4chan Drive/2. EVERYONE ELSE'S JUMPS/3. Series/Call of Duty")</f>
        <v>DriveAnon's 4chan Drive/2. EVERYONE ELSE'S JUMPS/3. Series/Call of Duty</v>
      </c>
    </row>
    <row r="817">
      <c r="A817" s="12" t="str">
        <f>HYPERLINK("https://drive.google.com/file/d/1DOPvjifwBTzz0T567NY0BcC1aw8BgHJh/view?usp=drivesdk","Call of Duty - Infinite Warfare JumpChain.pdf")</f>
        <v>Call of Duty - Infinite Warfare JumpChain.pdf</v>
      </c>
      <c r="B817" s="12" t="str">
        <f t="shared" si="166"/>
        <v>DriveAnon's 4chan Drive/2. EVERYONE ELSE'S JUMPS/3. Series/Call of Duty</v>
      </c>
    </row>
    <row r="818">
      <c r="A818" s="12" t="str">
        <f>HYPERLINK("https://drive.google.com/file/d/1iC9SFACB36WQZEeaQ2unwRG5rPqtCQli/view?usp=drivesdk","Call of Duty - Advanced Warfare JumpChain.pdf")</f>
        <v>Call of Duty - Advanced Warfare JumpChain.pdf</v>
      </c>
      <c r="B818" s="12" t="str">
        <f t="shared" si="166"/>
        <v>DriveAnon's 4chan Drive/2. EVERYONE ELSE'S JUMPS/3. Series/Call of Duty</v>
      </c>
    </row>
    <row r="819">
      <c r="A819" s="12" t="str">
        <f>HYPERLINK("https://drive.google.com/file/d/1Cr00sMj7CmT2Czpc-xhBLTfZfA7VwG-i/view?usp=drivesdk","Castlevania - Portrait Of Ruin.pdf")</f>
        <v>Castlevania - Portrait Of Ruin.pdf</v>
      </c>
      <c r="B819" s="12" t="str">
        <f t="shared" ref="B819:B829" si="167">HYPERLINK("https://drive.google.com/drive/folders/1_pnD_gTO9APoSkEzqG2Vtud0LPBRe08c","DriveAnon's 4chan Drive/2. EVERYONE ELSE'S JUMPS/3. Series/Castlevania")</f>
        <v>DriveAnon's 4chan Drive/2. EVERYONE ELSE'S JUMPS/3. Series/Castlevania</v>
      </c>
    </row>
    <row r="820">
      <c r="A820" s="12" t="str">
        <f>HYPERLINK("https://drive.google.com/file/d/17wv5GG_qnh7sP6WPwQH0Tdtd7Rfc7enz/view?usp=drivesdk","Castlevania - Order of Ecclesia.pdf")</f>
        <v>Castlevania - Order of Ecclesia.pdf</v>
      </c>
      <c r="B820" s="12" t="str">
        <f t="shared" si="167"/>
        <v>DriveAnon's 4chan Drive/2. EVERYONE ELSE'S JUMPS/3. Series/Castlevania</v>
      </c>
    </row>
    <row r="821">
      <c r="A821" s="12" t="str">
        <f>HYPERLINK("https://drive.google.com/file/d/1jPAMvjzeanTCBbDk-eIJKfRh3xad0o0h/view?usp=drivesdk","Castlevania 64.pdf")</f>
        <v>Castlevania 64.pdf</v>
      </c>
      <c r="B821" s="12" t="str">
        <f t="shared" si="167"/>
        <v>DriveAnon's 4chan Drive/2. EVERYONE ELSE'S JUMPS/3. Series/Castlevania</v>
      </c>
    </row>
    <row r="822">
      <c r="A822" s="12" t="str">
        <f>HYPERLINK("https://drive.google.com/file/d/1G1_YQiGm-cJ2ylY_AUsLaKoM9yhAI_S2/view?usp=drivesdk","Castlevania - Legacy of Darkness.pdf")</f>
        <v>Castlevania - Legacy of Darkness.pdf</v>
      </c>
      <c r="B822" s="12" t="str">
        <f t="shared" si="167"/>
        <v>DriveAnon's 4chan Drive/2. EVERYONE ELSE'S JUMPS/3. Series/Castlevania</v>
      </c>
    </row>
    <row r="823">
      <c r="A823" s="12" t="str">
        <f>HYPERLINK("https://drive.google.com/file/d/1CtCEj2gYMXgpuy24_W4XyewzJgn1dPTK/view?usp=drivesdk","Castlevania - Rondo of Blood.pdf")</f>
        <v>Castlevania - Rondo of Blood.pdf</v>
      </c>
      <c r="B823" s="12" t="str">
        <f t="shared" si="167"/>
        <v>DriveAnon's 4chan Drive/2. EVERYONE ELSE'S JUMPS/3. Series/Castlevania</v>
      </c>
    </row>
    <row r="824">
      <c r="A824" s="12" t="str">
        <f>HYPERLINK("https://drive.google.com/file/d/11BJzLRcg_6l1UNl_ONlKPP0VYFJyae0F/view?usp=drivesdk","Castlevania - Lament of Innocence.pdf")</f>
        <v>Castlevania - Lament of Innocence.pdf</v>
      </c>
      <c r="B824" s="12" t="str">
        <f t="shared" si="167"/>
        <v>DriveAnon's 4chan Drive/2. EVERYONE ELSE'S JUMPS/3. Series/Castlevania</v>
      </c>
    </row>
    <row r="825">
      <c r="A825" s="12" t="str">
        <f>HYPERLINK("https://drive.google.com/file/d/1aDc4SfrwzOmHoXE9rjPLFaTNOT9SsZQp/view?usp=drivesdk","Castlevania - Circle of the Moon.pdf")</f>
        <v>Castlevania - Circle of the Moon.pdf</v>
      </c>
      <c r="B825" s="12" t="str">
        <f t="shared" si="167"/>
        <v>DriveAnon's 4chan Drive/2. EVERYONE ELSE'S JUMPS/3. Series/Castlevania</v>
      </c>
    </row>
    <row r="826">
      <c r="A826" s="12" t="str">
        <f>HYPERLINK("https://drive.google.com/file/d/1po7blcWYJfmkK0-IOzlwDgScPh3JWqfA/view?usp=drivesdk","Castlevania - Judgment.pdf")</f>
        <v>Castlevania - Judgment.pdf</v>
      </c>
      <c r="B826" s="12" t="str">
        <f t="shared" si="167"/>
        <v>DriveAnon's 4chan Drive/2. EVERYONE ELSE'S JUMPS/3. Series/Castlevania</v>
      </c>
    </row>
    <row r="827">
      <c r="A827" s="12" t="str">
        <f>HYPERLINK("https://drive.google.com/file/d/11SnAcRg45TDs9KK9amSJtqJucu4KKBvL/view?usp=drivesdk","Castlevania Jumpchain.pdf")</f>
        <v>Castlevania Jumpchain.pdf</v>
      </c>
      <c r="B827" s="12" t="str">
        <f t="shared" si="167"/>
        <v>DriveAnon's 4chan Drive/2. EVERYONE ELSE'S JUMPS/3. Series/Castlevania</v>
      </c>
    </row>
    <row r="828">
      <c r="A828" s="12" t="str">
        <f>HYPERLINK("https://drive.google.com/file/d/14IfNTvesmxBlZiS1fPLp2GjddNZV6067/view?usp=drivesdk","Castlevania (Netflix) JumpChain.pdf")</f>
        <v>Castlevania (Netflix) JumpChain.pdf</v>
      </c>
      <c r="B828" s="12" t="str">
        <f t="shared" si="167"/>
        <v>DriveAnon's 4chan Drive/2. EVERYONE ELSE'S JUMPS/3. Series/Castlevania</v>
      </c>
    </row>
    <row r="829">
      <c r="A829" s="12" t="str">
        <f>HYPERLINK("https://drive.google.com/file/d/1yLTKRoccxZakbFhUonFCE9oqzJQYGYc9/view?usp=drivesdk","Castlevania Aria of Sorrow JumpChain.pdf")</f>
        <v>Castlevania Aria of Sorrow JumpChain.pdf</v>
      </c>
      <c r="B829" s="12" t="str">
        <f t="shared" si="167"/>
        <v>DriveAnon's 4chan Drive/2. EVERYONE ELSE'S JUMPS/3. Series/Castlevania</v>
      </c>
    </row>
    <row r="830">
      <c r="A830" s="12" t="str">
        <f>HYPERLINK("https://drive.google.com/file/d/1RACVft5qEJ9RcR4emk8cAik1TVmAdH-H/view?usp=drivesdk","City of Heroes JumpChain.pdf")</f>
        <v>City of Heroes JumpChain.pdf</v>
      </c>
      <c r="B830" s="12" t="str">
        <f t="shared" ref="B830:B831" si="168">HYPERLINK("https://drive.google.com/drive/folders/1d9IzHv5ZsOYfrGdukWlcCZABCp7300M-","DriveAnon's 4chan Drive/2. EVERYONE ELSE'S JUMPS/3. Series/City of Heroes")</f>
        <v>DriveAnon's 4chan Drive/2. EVERYONE ELSE'S JUMPS/3. Series/City of Heroes</v>
      </c>
    </row>
    <row r="831">
      <c r="A831" s="12" t="str">
        <f>HYPERLINK("https://drive.google.com/file/d/1d0Ldl__r8atsw5AhgRdlMDh3Ox7EJK9K/view?usp=drivesdk","City of Heroes Jump - Going Rogue Gauntlet.pdf")</f>
        <v>City of Heroes Jump - Going Rogue Gauntlet.pdf</v>
      </c>
      <c r="B831" s="12" t="str">
        <f t="shared" si="168"/>
        <v>DriveAnon's 4chan Drive/2. EVERYONE ELSE'S JUMPS/3. Series/City of Heroes</v>
      </c>
    </row>
    <row r="832">
      <c r="A832" s="12" t="str">
        <f>HYPERLINK("https://drive.google.com/file/d/1JO4PCmD7V3GHCyIfdCT4rsnaJoekd9ix/view?usp=drivesdk","Chrono Cross JumpChain.pdf")</f>
        <v>Chrono Cross JumpChain.pdf</v>
      </c>
      <c r="B832" s="12" t="str">
        <f t="shared" ref="B832:B834" si="169">HYPERLINK("https://drive.google.com/drive/folders/1g4iVyFWLxmWe7lecBT79CJfiIA80QoRX","DriveAnon's 4chan Drive/2. EVERYONE ELSE'S JUMPS/3. Series/Chrono Series")</f>
        <v>DriveAnon's 4chan Drive/2. EVERYONE ELSE'S JUMPS/3. Series/Chrono Series</v>
      </c>
    </row>
    <row r="833">
      <c r="A833" s="12" t="str">
        <f>HYPERLINK("https://drive.google.com/file/d/1kBnwx492sauk0aEhP_iUENVUnlSaodEj/view?usp=drivesdk","Chrono Trigger JumpChain.pdf")</f>
        <v>Chrono Trigger JumpChain.pdf</v>
      </c>
      <c r="B833" s="12" t="str">
        <f t="shared" si="169"/>
        <v>DriveAnon's 4chan Drive/2. EVERYONE ELSE'S JUMPS/3. Series/Chrono Series</v>
      </c>
    </row>
    <row r="834">
      <c r="A834" s="12" t="str">
        <f>HYPERLINK("https://drive.google.com/file/d/1rrToNDtvS5qRuC3iXuwo7FY6hYxnnWgy/view?usp=drivesdk","Chrono Cross Jumpchain DLC.pdf")</f>
        <v>Chrono Cross Jumpchain DLC.pdf</v>
      </c>
      <c r="B834" s="12" t="str">
        <f t="shared" si="169"/>
        <v>DriveAnon's 4chan Drive/2. EVERYONE ELSE'S JUMPS/3. Series/Chrono Series</v>
      </c>
    </row>
    <row r="835">
      <c r="A835" s="12" t="str">
        <f>HYPERLINK("https://drive.google.com/file/d/1daxS7ex_tE6MpFHXq2IYKGubnd0lsTxl/view?usp=drivesdk","BlazBlue - Phase Zero JumpChain.pdf")</f>
        <v>BlazBlue - Phase Zero JumpChain.pdf</v>
      </c>
      <c r="B835" s="12" t="str">
        <f t="shared" ref="B835:B836" si="170">HYPERLINK("https://drive.google.com/drive/folders/1g60hvHJEoXEWuVKYyTRnju6BsOKH3jlg","DriveAnon's 4chan Drive/2. EVERYONE ELSE'S JUMPS/3. Series/BlazBlue")</f>
        <v>DriveAnon's 4chan Drive/2. EVERYONE ELSE'S JUMPS/3. Series/BlazBlue</v>
      </c>
    </row>
    <row r="836">
      <c r="A836" s="12" t="str">
        <f>HYPERLINK("https://drive.google.com/file/d/1hSe6sVtv-neOP06UtysDzOc378hukp_d/view?usp=drivesdk","BlazBlue Jumpchain.pdf")</f>
        <v>BlazBlue Jumpchain.pdf</v>
      </c>
      <c r="B836" s="12" t="str">
        <f t="shared" si="170"/>
        <v>DriveAnon's 4chan Drive/2. EVERYONE ELSE'S JUMPS/3. Series/BlazBlue</v>
      </c>
    </row>
    <row r="837">
      <c r="A837" s="12" t="str">
        <f>HYPERLINK("https://drive.google.com/file/d/1o6N2JLyhhqYiiPHU9heuzISJTORoeMxs/view?usp=drivesdk","Bee Movie JumpChain.pdf")</f>
        <v>Bee Movie JumpChain.pdf</v>
      </c>
      <c r="B837" s="12" t="str">
        <f t="shared" ref="B837:B838" si="171">HYPERLINK("https://drive.google.com/drive/folders/1tNlPYjgUqXqn-hS63AdWqT1tXGbzk8QL","DriveAnon's 4chan Drive/2. EVERYONE ELSE'S JUMPS/3. Series/Bee Movie")</f>
        <v>DriveAnon's 4chan Drive/2. EVERYONE ELSE'S JUMPS/3. Series/Bee Movie</v>
      </c>
    </row>
    <row r="838">
      <c r="A838" s="12" t="str">
        <f>HYPERLINK("https://drive.google.com/file/d/1y99gHgcEUX001luZzrvETUuJUmNsUKsn/view?usp=drivesdk","Batman – _Bee_ Animated Series (April 1st Jump Joke).pdf")</f>
        <v>Batman – _Bee_ Animated Series (April 1st Jump Joke).pdf</v>
      </c>
      <c r="B838" s="12" t="str">
        <f t="shared" si="171"/>
        <v>DriveAnon's 4chan Drive/2. EVERYONE ELSE'S JUMPS/3. Series/Bee Movie</v>
      </c>
    </row>
    <row r="839">
      <c r="A839" s="12" t="str">
        <f>HYPERLINK("https://drive.google.com/file/d/1KfLD99XlIcMaQsshdzk-JkLTTqqg-gEy/view?usp=drivesdk","Battle Destruction School Dangerous Supplement.pdf")</f>
        <v>Battle Destruction School Dangerous Supplement.pdf</v>
      </c>
      <c r="B839" s="12" t="str">
        <f t="shared" ref="B839:B840" si="172">HYPERLINK("https://drive.google.com/drive/folders/1Z-j07LzYsHxTYqUqb9XMjE9XApOBmxyI","DriveAnon's 4chan Drive/2. EVERYONE ELSE'S JUMPS/3. Series/Battle Destruction School Dangerous")</f>
        <v>DriveAnon's 4chan Drive/2. EVERYONE ELSE'S JUMPS/3. Series/Battle Destruction School Dangerous</v>
      </c>
    </row>
    <row r="840">
      <c r="A840" s="12" t="str">
        <f>HYPERLINK("https://drive.google.com/file/d/1eilRGIUpy9rOqDe4nXlulgnquDFJKRUA/view?usp=drivesdk","Battle Destruction School Dangerous JumpChain.pdf")</f>
        <v>Battle Destruction School Dangerous JumpChain.pdf</v>
      </c>
      <c r="B840" s="12" t="str">
        <f t="shared" si="172"/>
        <v>DriveAnon's 4chan Drive/2. EVERYONE ELSE'S JUMPS/3. Series/Battle Destruction School Dangerous</v>
      </c>
    </row>
    <row r="841">
      <c r="A841" s="12" t="str">
        <f>HYPERLINK("https://drive.google.com/file/d/1p-j1EEaOeSJ3aHmJpMxF3AUg2psIJPjX/view?usp=drivesdk","Bastard!! part 2.pdf")</f>
        <v>Bastard!! part 2.pdf</v>
      </c>
      <c r="B841" s="12" t="str">
        <f t="shared" ref="B841:B842" si="173">HYPERLINK("https://drive.google.com/drive/folders/1uk4tqLIwk1i_X0i3nUWVHSpAwgqxCmdL","DriveAnon's 4chan Drive/2. EVERYONE ELSE'S JUMPS/3. Series/Bastard")</f>
        <v>DriveAnon's 4chan Drive/2. EVERYONE ELSE'S JUMPS/3. Series/Bastard</v>
      </c>
    </row>
    <row r="842">
      <c r="A842" s="12" t="str">
        <f>HYPERLINK("https://drive.google.com/file/d/11k3a3XL9UeIrJE0POsjgQDVpJaqMAX9g/view?usp=drivesdk","Bastard!! part 1 JumpChain.pdf")</f>
        <v>Bastard!! part 1 JumpChain.pdf</v>
      </c>
      <c r="B842" s="12" t="str">
        <f t="shared" si="173"/>
        <v>DriveAnon's 4chan Drive/2. EVERYONE ELSE'S JUMPS/3. Series/Bastard</v>
      </c>
    </row>
    <row r="843">
      <c r="A843" s="12" t="str">
        <f>HYPERLINK("https://drive.google.com/file/d/1BzQepTJwy39tpBRGQP6fSaPXcHJsZjgX/view?usp=drivesdk","Atelier Ryza.pdf")</f>
        <v>Atelier Ryza.pdf</v>
      </c>
      <c r="B843" s="12" t="str">
        <f t="shared" ref="B843:B844" si="174">HYPERLINK("https://drive.google.com/drive/folders/1LUdaFT8N4Oh4dVq2ZPt6aYMAnYi0xEny","DriveAnon's 4chan Drive/2. EVERYONE ELSE'S JUMPS/3. Series/Atelier")</f>
        <v>DriveAnon's 4chan Drive/2. EVERYONE ELSE'S JUMPS/3. Series/Atelier</v>
      </c>
    </row>
    <row r="844">
      <c r="A844" s="12" t="str">
        <f>HYPERLINK("https://drive.google.com/file/d/16UN1StDw9YDaxBMbcxiKgVW04rP2BLCx/view?usp=drivesdk","Atelier Arland.pdf")</f>
        <v>Atelier Arland.pdf</v>
      </c>
      <c r="B844" s="12" t="str">
        <f t="shared" si="174"/>
        <v>DriveAnon's 4chan Drive/2. EVERYONE ELSE'S JUMPS/3. Series/Atelier</v>
      </c>
    </row>
    <row r="845">
      <c r="A845" s="12" t="str">
        <f>HYPERLINK("https://drive.google.com/file/d/1PmIy6A9vfzknYh8wd29b7VHNMUzwgCl_/view?usp=drivesdk","Avatar- The Last Airbender Jumpchain.pdf")</f>
        <v>Avatar- The Last Airbender Jumpchain.pdf</v>
      </c>
      <c r="B845" s="12" t="str">
        <f t="shared" ref="B845:B847" si="175">HYPERLINK("https://drive.google.com/drive/folders/1ShW19SAJKi5mw3PMS7dU3CT3RvyPDs_d","DriveAnon's 4chan Drive/2. EVERYONE ELSE'S JUMPS/3. Series/Avatar")</f>
        <v>DriveAnon's 4chan Drive/2. EVERYONE ELSE'S JUMPS/3. Series/Avatar</v>
      </c>
    </row>
    <row r="846">
      <c r="A846" s="12" t="str">
        <f>HYPERLINK("https://drive.google.com/file/d/1R5E6Ou5k84yR3dpL0qpyNt8I8kF_QlR1/view?usp=drivesdk","Avatar - Legend of Korra JumpChain Text.pdf")</f>
        <v>Avatar - Legend of Korra JumpChain Text.pdf</v>
      </c>
      <c r="B846" s="12" t="str">
        <f t="shared" si="175"/>
        <v>DriveAnon's 4chan Drive/2. EVERYONE ELSE'S JUMPS/3. Series/Avatar</v>
      </c>
    </row>
    <row r="847">
      <c r="A847" s="12" t="str">
        <f>HYPERLINK("https://drive.google.com/file/d/1nJ-UEcAHzJ_WS7qUV_uvTdrRfAOFEe-U/view?usp=drivesdk","Avatar - Legend of Korra JumpChain.pdf")</f>
        <v>Avatar - Legend of Korra JumpChain.pdf</v>
      </c>
      <c r="B847" s="12" t="str">
        <f t="shared" si="175"/>
        <v>DriveAnon's 4chan Drive/2. EVERYONE ELSE'S JUMPS/3. Series/Avatar</v>
      </c>
    </row>
    <row r="848">
      <c r="A848" s="12" t="str">
        <f>HYPERLINK("https://drive.google.com/file/d/1-efwYJe_gcdBQ4fRfUHQGO7iSfqHgfx_/view?usp=drivesdk","A Practical Guide to Evil JumpChain.pdf")</f>
        <v>A Practical Guide to Evil JumpChain.pdf</v>
      </c>
      <c r="B848" s="12" t="str">
        <f t="shared" ref="B848:B849" si="176">HYPERLINK("https://drive.google.com/drive/folders/1XLel3Nfy_iyw3iKtSzN1ZtlDlMLGOJQL","DriveAnon's 4chan Drive/2. EVERYONE ELSE'S JUMPS/3. Series/A Practical Guide to Evil")</f>
        <v>DriveAnon's 4chan Drive/2. EVERYONE ELSE'S JUMPS/3. Series/A Practical Guide to Evil</v>
      </c>
    </row>
    <row r="849">
      <c r="A849" s="12" t="str">
        <f>HYPERLINK("https://drive.google.com/file/d/1l6fLWBl2oVnz1xdSyNcOw3zuqU2ZaNb7/view?usp=drivesdk","NamedSupplement.pdf")</f>
        <v>NamedSupplement.pdf</v>
      </c>
      <c r="B849" s="12" t="str">
        <f t="shared" si="176"/>
        <v>DriveAnon's 4chan Drive/2. EVERYONE ELSE'S JUMPS/3. Series/A Practical Guide to Evil</v>
      </c>
    </row>
    <row r="850">
      <c r="A850" s="12" t="str">
        <f>HYPERLINK("https://drive.google.com/file/d/12N2TVb_n7pJp4s5rQcC2Yaf0Ryzo8xsR/view?usp=drivesdk","Wonderland No More.pdf")</f>
        <v>Wonderland No More.pdf</v>
      </c>
      <c r="B850" s="12" t="str">
        <f t="shared" ref="B850:B854" si="177">HYPERLINK("https://drive.google.com/drive/folders/1e6tX8j5P08QvVNTeQUMKYFhpz5xRe0aX","DriveAnon's 4chan Drive/2. EVERYONE ELSE'S JUMPS/3. Series/Alice")</f>
        <v>DriveAnon's 4chan Drive/2. EVERYONE ELSE'S JUMPS/3. Series/Alice</v>
      </c>
    </row>
    <row r="851">
      <c r="A851" s="12" t="str">
        <f>HYPERLINK("https://drive.google.com/file/d/17oWwqBH54QTjqZ80l_6Mo5S_MU1fWbQx/view?usp=drivesdk","JAG'S Wonderland.pdf")</f>
        <v>JAG'S Wonderland.pdf</v>
      </c>
      <c r="B851" s="12" t="str">
        <f t="shared" si="177"/>
        <v>DriveAnon's 4chan Drive/2. EVERYONE ELSE'S JUMPS/3. Series/Alice</v>
      </c>
    </row>
    <row r="852">
      <c r="A852" s="12" t="str">
        <f>HYPERLINK("https://drive.google.com/file/d/1FExZQ-gK6dmPwnPQnh1fT3MqOLv3pRQy/view?usp=drivesdk","American McGee_s Alice JumpChain.pdf")</f>
        <v>American McGee_s Alice JumpChain.pdf</v>
      </c>
      <c r="B852" s="12" t="str">
        <f t="shared" si="177"/>
        <v>DriveAnon's 4chan Drive/2. EVERYONE ELSE'S JUMPS/3. Series/Alice</v>
      </c>
    </row>
    <row r="853">
      <c r="A853" s="12" t="str">
        <f>HYPERLINK("https://drive.google.com/file/d/1I-BNaz6NoJ-MlzXjyqKfE9HfjF4S61ol/view?usp=drivesdk","Alice- Through the Looking Glass JumpChain.pdf")</f>
        <v>Alice- Through the Looking Glass JumpChain.pdf</v>
      </c>
      <c r="B853" s="12" t="str">
        <f t="shared" si="177"/>
        <v>DriveAnon's 4chan Drive/2. EVERYONE ELSE'S JUMPS/3. Series/Alice</v>
      </c>
    </row>
    <row r="854">
      <c r="A854" s="12" t="str">
        <f>HYPERLINK("https://drive.google.com/file/d/1cYU_mL1rWKZllpuoGlcucBIaEbawx8gR/view?usp=drivesdk","ALICE’S ADVENTURES IN WONDERLAND JumpChain.pdf")</f>
        <v>ALICE’S ADVENTURES IN WONDERLAND JumpChain.pdf</v>
      </c>
      <c r="B854" s="12" t="str">
        <f t="shared" si="177"/>
        <v>DriveAnon's 4chan Drive/2. EVERYONE ELSE'S JUMPS/3. Series/Alice</v>
      </c>
    </row>
    <row r="855">
      <c r="A855" s="12" t="str">
        <f>HYPERLINK("https://drive.google.com/file/d/13AYP6ttA6_Fx6Bcsv76NVgBzlQljNrQi/view?usp=drivesdk","Armored Core 4 - For Answer JumpChain.pdf")</f>
        <v>Armored Core 4 - For Answer JumpChain.pdf</v>
      </c>
      <c r="B855" s="12" t="str">
        <f t="shared" ref="B855:B856" si="178">HYPERLINK("https://drive.google.com/drive/folders/1qyMNzu5S4U6jkab6pUW-hn_t_AG4M1Kx","DriveAnon's 4chan Drive/2. EVERYONE ELSE'S JUMPS/3. Series/Armored Core")</f>
        <v>DriveAnon's 4chan Drive/2. EVERYONE ELSE'S JUMPS/3. Series/Armored Core</v>
      </c>
    </row>
    <row r="856">
      <c r="A856" s="12" t="str">
        <f>HYPERLINK("https://drive.google.com/file/d/1Gni7uEBJ6cbBqQo1AbzLCPe23W0QKDOX/view?usp=drivesdk","Armored Core Classic JumpChain.pdf")</f>
        <v>Armored Core Classic JumpChain.pdf</v>
      </c>
      <c r="B856" s="12" t="str">
        <f t="shared" si="178"/>
        <v>DriveAnon's 4chan Drive/2. EVERYONE ELSE'S JUMPS/3. Series/Armored Core</v>
      </c>
    </row>
    <row r="857">
      <c r="A857" s="12" t="str">
        <f>HYPERLINK("https://drive.google.com/file/d/18IsDoLLoSWH9UwXb4YSCtl-Pkkilna2f/view?usp=drivesdk","Age of Empires III Jump Part 1 - Blood.pdf")</f>
        <v>Age of Empires III Jump Part 1 - Blood.pdf</v>
      </c>
      <c r="B857" s="12" t="str">
        <f t="shared" ref="B857:B858" si="179">HYPERLINK("https://drive.google.com/drive/folders/1r6mc_UUirgMx60EZSiK_XLAjkpnjbyIT","DriveAnon's 4chan Drive/2. EVERYONE ELSE'S JUMPS/3. Series/Age of Empires III")</f>
        <v>DriveAnon's 4chan Drive/2. EVERYONE ELSE'S JUMPS/3. Series/Age of Empires III</v>
      </c>
    </row>
    <row r="858">
      <c r="A858" s="12" t="str">
        <f>HYPERLINK("https://drive.google.com/file/d/1kVCtpCSOzrt9Aw1HMbT7BAGkWNCUVwZK/view?usp=drivesdk","Age of Empires III JumpChain.pdf")</f>
        <v>Age of Empires III JumpChain.pdf</v>
      </c>
      <c r="B858" s="12" t="str">
        <f t="shared" si="179"/>
        <v>DriveAnon's 4chan Drive/2. EVERYONE ELSE'S JUMPS/3. Series/Age of Empires III</v>
      </c>
    </row>
    <row r="859">
      <c r="A859" s="12" t="str">
        <f>HYPERLINK("https://drive.google.com/file/d/18rLEjBkkEkntHXcUwilwIR-ZqpLwvg6H/view?usp=drivesdk","Wizard Of Legend.pdf")</f>
        <v>Wizard Of Legend.pdf</v>
      </c>
      <c r="B859" s="12" t="str">
        <f t="shared" ref="B859:B898" si="180">HYPERLINK("https://drive.google.com/drive/folders/1k8aTWLNEOASzJ4ef5qUkfbhEenQPCyrW","DriveAnon's 4chan Drive/2. EVERYONE ELSE'S JUMPS/4. WIP")</f>
        <v>DriveAnon's 4chan Drive/2. EVERYONE ELSE'S JUMPS/4. WIP</v>
      </c>
    </row>
    <row r="860">
      <c r="A860" s="12" t="str">
        <f>HYPERLINK("https://drive.google.com/file/d/10rGzxeevE9exV31XfZM2yHizjDUXB0Wq/view?usp=drivesdk","Generic Crime Drama Jumpchain.pdf")</f>
        <v>Generic Crime Drama Jumpchain.pdf</v>
      </c>
      <c r="B860" s="12" t="str">
        <f t="shared" si="180"/>
        <v>DriveAnon's 4chan Drive/2. EVERYONE ELSE'S JUMPS/4. WIP</v>
      </c>
    </row>
    <row r="861">
      <c r="A861" s="12" t="str">
        <f>HYPERLINK("https://drive.google.com/file/d/13v-Y1WU-72Rgv9vn0ICFWzJ0XGuXAWto/view?usp=drivesdk","Highlander (The TV Series) WIP.pdf")</f>
        <v>Highlander (The TV Series) WIP.pdf</v>
      </c>
      <c r="B861" s="12" t="str">
        <f t="shared" si="180"/>
        <v>DriveAnon's 4chan Drive/2. EVERYONE ELSE'S JUMPS/4. WIP</v>
      </c>
    </row>
    <row r="862">
      <c r="A862" s="12" t="str">
        <f>HYPERLINK("https://drive.google.com/file/d/147tfamIuO9ymh6YsCAA5NDJ-Dl8SWrbY/view?usp=drivesdk","Homestuck Jump.pdf")</f>
        <v>Homestuck Jump.pdf</v>
      </c>
      <c r="B862" s="12" t="str">
        <f t="shared" si="180"/>
        <v>DriveAnon's 4chan Drive/2. EVERYONE ELSE'S JUMPS/4. WIP</v>
      </c>
    </row>
    <row r="863">
      <c r="A863" s="12" t="str">
        <f>HYPERLINK("https://drive.google.com/file/d/1KMYVtCj1jH4eQU2FVw6fL3oqCtCZS6xb/view?usp=drivesdk","Diablo Jumpchain.pdf")</f>
        <v>Diablo Jumpchain.pdf</v>
      </c>
      <c r="B863" s="12" t="str">
        <f t="shared" si="180"/>
        <v>DriveAnon's 4chan Drive/2. EVERYONE ELSE'S JUMPS/4. WIP</v>
      </c>
    </row>
    <row r="864">
      <c r="A864" s="12" t="str">
        <f>HYPERLINK("https://drive.google.com/file/d/1KsHqvPwJOb2EoXAhOLIGQBlewI-goBGT/view?usp=drivesdk","GANTZ JumpChain.pdf")</f>
        <v>GANTZ JumpChain.pdf</v>
      </c>
      <c r="B864" s="12" t="str">
        <f t="shared" si="180"/>
        <v>DriveAnon's 4chan Drive/2. EVERYONE ELSE'S JUMPS/4. WIP</v>
      </c>
    </row>
    <row r="865">
      <c r="A865" s="12" t="str">
        <f>HYPERLINK("https://drive.google.com/file/d/1LPj50jwgX9iWh-dK9XR0UeJguehMBSEK/view?usp=drivesdk","Generic Monster Trainer JumpChain.pdf")</f>
        <v>Generic Monster Trainer JumpChain.pdf</v>
      </c>
      <c r="B865" s="12" t="str">
        <f t="shared" si="180"/>
        <v>DriveAnon's 4chan Drive/2. EVERYONE ELSE'S JUMPS/4. WIP</v>
      </c>
    </row>
    <row r="866">
      <c r="A866" s="12" t="str">
        <f>HYPERLINK("https://drive.google.com/file/d/1XP0bcSXRzP7ZUAk8VA0c9nYrjm5FvGi9/view?usp=drivesdk","Final Fantasy Tactics JumpChain.pdf")</f>
        <v>Final Fantasy Tactics JumpChain.pdf</v>
      </c>
      <c r="B866" s="12" t="str">
        <f t="shared" si="180"/>
        <v>DriveAnon's 4chan Drive/2. EVERYONE ELSE'S JUMPS/4. WIP</v>
      </c>
    </row>
    <row r="867">
      <c r="A867" s="12" t="str">
        <f>HYPERLINK("https://drive.google.com/file/d/1eAYvLBKFMbd1tX-6fCmEStKsbtdK83WG/view?usp=drivesdk","Arsene Lupin Jump 1-05-2017.pdf")</f>
        <v>Arsene Lupin Jump 1-05-2017.pdf</v>
      </c>
      <c r="B867" s="12" t="str">
        <f t="shared" si="180"/>
        <v>DriveAnon's 4chan Drive/2. EVERYONE ELSE'S JUMPS/4. WIP</v>
      </c>
    </row>
    <row r="868">
      <c r="A868" s="12" t="str">
        <f>HYPERLINK("https://drive.google.com/file/d/1j9X4I5tlx6Io0TFHrausxCrkWLj31ii0/view?usp=drivesdk","Highlander (The Animated Series) WIP.pdf")</f>
        <v>Highlander (The Animated Series) WIP.pdf</v>
      </c>
      <c r="B868" s="12" t="str">
        <f t="shared" si="180"/>
        <v>DriveAnon's 4chan Drive/2. EVERYONE ELSE'S JUMPS/4. WIP</v>
      </c>
    </row>
    <row r="869">
      <c r="A869" s="12" t="str">
        <f>HYPERLINK("https://drive.google.com/file/d/1mQgsoPzZVYEhpEve4rxiQpHHxhXIrX1I/view?usp=drivesdk","Highlander (The Movies) WIP.pdf")</f>
        <v>Highlander (The Movies) WIP.pdf</v>
      </c>
      <c r="B869" s="12" t="str">
        <f t="shared" si="180"/>
        <v>DriveAnon's 4chan Drive/2. EVERYONE ELSE'S JUMPS/4. WIP</v>
      </c>
    </row>
    <row r="870">
      <c r="A870" s="12" t="str">
        <f>HYPERLINK("https://drive.google.com/file/d/1rUW4efguFetj4Bc_pGbazDLoA7CwKtB1/view?usp=drivesdk","Dota Gauntlet Jump.pdf")</f>
        <v>Dota Gauntlet Jump.pdf</v>
      </c>
      <c r="B870" s="12" t="str">
        <f t="shared" si="180"/>
        <v>DriveAnon's 4chan Drive/2. EVERYONE ELSE'S JUMPS/4. WIP</v>
      </c>
    </row>
    <row r="871">
      <c r="A871" s="12" t="str">
        <f>HYPERLINK("https://drive.google.com/file/d/1wMtMuNsscFH3TZyR45LEtvGcn8-p-R5S/view?usp=drivesdk","Cartoon Network Universe Jump.pdf")</f>
        <v>Cartoon Network Universe Jump.pdf</v>
      </c>
      <c r="B871" s="12" t="str">
        <f t="shared" si="180"/>
        <v>DriveAnon's 4chan Drive/2. EVERYONE ELSE'S JUMPS/4. WIP</v>
      </c>
    </row>
    <row r="872">
      <c r="A872" s="12" t="str">
        <f>HYPERLINK("https://drive.google.com/file/d/1018Vtvq9O458sz2MtpZc9cOjISxKUP4z/view?usp=drivesdk","Puzzles _ Dragons JumpChain.pdf")</f>
        <v>Puzzles _ Dragons JumpChain.pdf</v>
      </c>
      <c r="B872" s="12" t="str">
        <f t="shared" si="180"/>
        <v>DriveAnon's 4chan Drive/2. EVERYONE ELSE'S JUMPS/4. WIP</v>
      </c>
    </row>
    <row r="873">
      <c r="A873" s="12" t="str">
        <f>HYPERLINK("https://drive.google.com/file/d/10gIZNZ-kmbvAuVlmj26z93xMrALzXnCg/view?usp=drivesdk","Monster Rancher Jumpchain.pdf")</f>
        <v>Monster Rancher Jumpchain.pdf</v>
      </c>
      <c r="B873" s="12" t="str">
        <f t="shared" si="180"/>
        <v>DriveAnon's 4chan Drive/2. EVERYONE ELSE'S JUMPS/4. WIP</v>
      </c>
    </row>
    <row r="874">
      <c r="A874" s="12" t="str">
        <f>HYPERLINK("https://drive.google.com/file/d/12bJOElNqMgHxtG9g-_yxyLCB5J_-tStj/view?usp=drivesdk","Tom Clancy’s Jack Ryan-Rainbow Six JumpChain.pdf")</f>
        <v>Tom Clancy’s Jack Ryan-Rainbow Six JumpChain.pdf</v>
      </c>
      <c r="B874" s="12" t="str">
        <f t="shared" si="180"/>
        <v>DriveAnon's 4chan Drive/2. EVERYONE ELSE'S JUMPS/4. WIP</v>
      </c>
    </row>
    <row r="875">
      <c r="A875" s="12" t="str">
        <f>HYPERLINK("https://drive.google.com/file/d/14-oKyVugniSdtMoSvUG9xoscGPMlWcZP/view?usp=drivesdk","The Warded Man.pdf")</f>
        <v>The Warded Man.pdf</v>
      </c>
      <c r="B875" s="12" t="str">
        <f t="shared" si="180"/>
        <v>DriveAnon's 4chan Drive/2. EVERYONE ELSE'S JUMPS/4. WIP</v>
      </c>
    </row>
    <row r="876">
      <c r="A876" s="12" t="str">
        <f>HYPERLINK("https://drive.google.com/file/d/18EJaSOwB-s2b7opLULrasm7hwAQi522i/view?usp=drivesdk","destroy all monsters jumpchain gauntlet WIP  .pdf")</f>
        <v>destroy all monsters jumpchain gauntlet WIP  .pdf</v>
      </c>
      <c r="B876" s="12" t="str">
        <f t="shared" si="180"/>
        <v>DriveAnon's 4chan Drive/2. EVERYONE ELSE'S JUMPS/4. WIP</v>
      </c>
    </row>
    <row r="877">
      <c r="A877" s="12" t="str">
        <f>HYPERLINK("https://drive.google.com/file/d/18ngT3WwiLHYDApbamqIJ9lH3VHSwx8IS/view?usp=drivesdk","V for Vendetta JumpChain WIP.pdf")</f>
        <v>V for Vendetta JumpChain WIP.pdf</v>
      </c>
      <c r="B877" s="12" t="str">
        <f t="shared" si="180"/>
        <v>DriveAnon's 4chan Drive/2. EVERYONE ELSE'S JUMPS/4. WIP</v>
      </c>
    </row>
    <row r="878">
      <c r="A878" s="12" t="str">
        <f>HYPERLINK("https://drive.google.com/file/d/1HTTjS15n8hhq7uYLp_FfWMTi6UxB2YFz/view?usp=drivesdk","Kingdom Hearts- Birth by Sleep JumpChain.pdf")</f>
        <v>Kingdom Hearts- Birth by Sleep JumpChain.pdf</v>
      </c>
      <c r="B878" s="12" t="str">
        <f t="shared" si="180"/>
        <v>DriveAnon's 4chan Drive/2. EVERYONE ELSE'S JUMPS/4. WIP</v>
      </c>
    </row>
    <row r="879">
      <c r="A879" s="12" t="str">
        <f>HYPERLINK("https://drive.google.com/file/d/1JwNwb2_XbQo5G-n76V-oa4eo1sCmTet2/view?usp=drivesdk","Three Musketeers JumpChain.pdf")</f>
        <v>Three Musketeers JumpChain.pdf</v>
      </c>
      <c r="B879" s="12" t="str">
        <f t="shared" si="180"/>
        <v>DriveAnon's 4chan Drive/2. EVERYONE ELSE'S JUMPS/4. WIP</v>
      </c>
    </row>
    <row r="880">
      <c r="A880" s="12" t="str">
        <f>HYPERLINK("https://drive.google.com/file/d/1Oqum3lJk9EXS0-XsxEq3TDUsnwPXn_BE/view?usp=drivesdk","Final Fantasy - Mystic Quest Gauntlet v0.93.pdf")</f>
        <v>Final Fantasy - Mystic Quest Gauntlet v0.93.pdf</v>
      </c>
      <c r="B880" s="12" t="str">
        <f t="shared" si="180"/>
        <v>DriveAnon's 4chan Drive/2. EVERYONE ELSE'S JUMPS/4. WIP</v>
      </c>
    </row>
    <row r="881">
      <c r="A881" s="12" t="str">
        <f>HYPERLINK("https://docs.google.com/spreadsheets/d/1RrmT5RldSzouUF2cLoy0SWQQU8P2T71m/edit?usp=drivesdk&amp;ouid=115153177157280896651&amp;rtpof=true&amp;sd=true","Kaleido Star Jump (Rough Draft).xlsx")</f>
        <v>Kaleido Star Jump (Rough Draft).xlsx</v>
      </c>
      <c r="B881" s="12" t="str">
        <f t="shared" si="180"/>
        <v>DriveAnon's 4chan Drive/2. EVERYONE ELSE'S JUMPS/4. WIP</v>
      </c>
    </row>
    <row r="882">
      <c r="A882" s="12" t="str">
        <f>HYPERLINK("https://drive.google.com/file/d/1Tgi6q8oHlCdAuronQC84FeKTxMSE0Idj/view?usp=drivesdk","WARMACHINE JumpChain.pdf")</f>
        <v>WARMACHINE JumpChain.pdf</v>
      </c>
      <c r="B882" s="12" t="str">
        <f t="shared" si="180"/>
        <v>DriveAnon's 4chan Drive/2. EVERYONE ELSE'S JUMPS/4. WIP</v>
      </c>
    </row>
    <row r="883">
      <c r="A883" s="12" t="str">
        <f>HYPERLINK("https://drive.google.com/file/d/1UBeOUcG_MSqn1wIHyHtwRflv_LJL29IV/view?usp=drivesdk","M.I.B. Jumpchain.pdf")</f>
        <v>M.I.B. Jumpchain.pdf</v>
      </c>
      <c r="B883" s="12" t="str">
        <f t="shared" si="180"/>
        <v>DriveAnon's 4chan Drive/2. EVERYONE ELSE'S JUMPS/4. WIP</v>
      </c>
    </row>
    <row r="884">
      <c r="A884" s="12" t="str">
        <f>HYPERLINK("https://drive.google.com/file/d/1W5rdNoHzwh_Uje85fV4-nhwupe_gWqyT/view?usp=drivesdk","Home Improvement Jump v.06.pdf")</f>
        <v>Home Improvement Jump v.06.pdf</v>
      </c>
      <c r="B884" s="12" t="str">
        <f t="shared" si="180"/>
        <v>DriveAnon's 4chan Drive/2. EVERYONE ELSE'S JUMPS/4. WIP</v>
      </c>
    </row>
    <row r="885">
      <c r="A885" s="12" t="str">
        <f>HYPERLINK("https://drive.google.com/file/d/1c_aXROMawatI9Db1eQIf3rU0wBlKaOhw/view?usp=drivesdk","Economic Investment JumpChain.pdf")</f>
        <v>Economic Investment JumpChain.pdf</v>
      </c>
      <c r="B885" s="12" t="str">
        <f t="shared" si="180"/>
        <v>DriveAnon's 4chan Drive/2. EVERYONE ELSE'S JUMPS/4. WIP</v>
      </c>
    </row>
    <row r="886">
      <c r="A886" s="12" t="str">
        <f>HYPERLINK("https://drive.google.com/file/d/1fqAiNkr3weNmQn34RUE10fH7etfFbkv_/view?usp=drivesdk","If the Emperor had a text to speech device JumpChain.pdf")</f>
        <v>If the Emperor had a text to speech device JumpChain.pdf</v>
      </c>
      <c r="B886" s="12" t="str">
        <f t="shared" si="180"/>
        <v>DriveAnon's 4chan Drive/2. EVERYONE ELSE'S JUMPS/4. WIP</v>
      </c>
    </row>
    <row r="887">
      <c r="A887" s="12" t="str">
        <f>HYPERLINK("https://drive.google.com/file/d/1ghZqWbPPybjmQ-6gHjdQ7akQcxghh9-n/view?usp=drivesdk","Vanquish WIP.pdf")</f>
        <v>Vanquish WIP.pdf</v>
      </c>
      <c r="B887" s="12" t="str">
        <f t="shared" si="180"/>
        <v>DriveAnon's 4chan Drive/2. EVERYONE ELSE'S JUMPS/4. WIP</v>
      </c>
    </row>
    <row r="888">
      <c r="A888" s="12" t="str">
        <f>HYPERLINK("https://drive.google.com/file/d/1jAK6tel_7HIDmTYx3jkIk80lygwMvHPg/view?usp=drivesdk","Simcity jump WIP.pdf")</f>
        <v>Simcity jump WIP.pdf</v>
      </c>
      <c r="B888" s="12" t="str">
        <f t="shared" si="180"/>
        <v>DriveAnon's 4chan Drive/2. EVERYONE ELSE'S JUMPS/4. WIP</v>
      </c>
    </row>
    <row r="889">
      <c r="A889" s="12" t="str">
        <f>HYPERLINK("https://drive.google.com/file/d/1m5ZkO7qIcgamnRa6t7JX1MsVug60g9Vs/view?usp=drivesdk","Sleeping Dogs JumpChain.pdf")</f>
        <v>Sleeping Dogs JumpChain.pdf</v>
      </c>
      <c r="B889" s="12" t="str">
        <f t="shared" si="180"/>
        <v>DriveAnon's 4chan Drive/2. EVERYONE ELSE'S JUMPS/4. WIP</v>
      </c>
    </row>
    <row r="890">
      <c r="A890" s="12" t="str">
        <f>HYPERLINK("https://drive.google.com/file/d/1n4lmRdyC-tlge02-f-7_8FcWyv2MNkvk/view?usp=drivesdk","Traveller Jump WIP.pdf")</f>
        <v>Traveller Jump WIP.pdf</v>
      </c>
      <c r="B890" s="12" t="str">
        <f t="shared" si="180"/>
        <v>DriveAnon's 4chan Drive/2. EVERYONE ELSE'S JUMPS/4. WIP</v>
      </c>
    </row>
    <row r="891">
      <c r="A891" s="12" t="str">
        <f>HYPERLINK("https://drive.google.com/file/d/1nrv-I6UBf6fqFdff5l9CifdPMBk-F-xc/view?usp=drivesdk","WIP SPECIAL MARTIAL ARTS EXTREME HELL PRIVATE HIGH SCHOOL jump.pdf")</f>
        <v>WIP SPECIAL MARTIAL ARTS EXTREME HELL PRIVATE HIGH SCHOOL jump.pdf</v>
      </c>
      <c r="B891" s="12" t="str">
        <f t="shared" si="180"/>
        <v>DriveAnon's 4chan Drive/2. EVERYONE ELSE'S JUMPS/4. WIP</v>
      </c>
    </row>
    <row r="892">
      <c r="A892" s="12" t="str">
        <f>HYPERLINK("https://drive.google.com/file/d/1oXAo5WcniWnRJq97wvZGMBJi5yfQpGAw/view?usp=drivesdk","R.E.D. Gauntlet v0.6.pdf")</f>
        <v>R.E.D. Gauntlet v0.6.pdf</v>
      </c>
      <c r="B892" s="12" t="str">
        <f t="shared" si="180"/>
        <v>DriveAnon's 4chan Drive/2. EVERYONE ELSE'S JUMPS/4. WIP</v>
      </c>
    </row>
    <row r="893">
      <c r="A893" s="12" t="str">
        <f>HYPERLINK("https://drive.google.com/file/d/1pe8fK6JOwcdtvWOEeVmh3ot5GhMm572k/view?usp=drivesdk","Titanic Jumpchain  2017-04-05.pdf")</f>
        <v>Titanic Jumpchain  2017-04-05.pdf</v>
      </c>
      <c r="B893" s="12" t="str">
        <f t="shared" si="180"/>
        <v>DriveAnon's 4chan Drive/2. EVERYONE ELSE'S JUMPS/4. WIP</v>
      </c>
    </row>
    <row r="894">
      <c r="A894" s="12" t="str">
        <f>HYPERLINK("https://drive.google.com/file/d/1tuYiVSUbHhtE7PRTKNWy3uxdd9D3sAeD/view?usp=drivesdk","Suits JumpChain.pdf")</f>
        <v>Suits JumpChain.pdf</v>
      </c>
      <c r="B894" s="12" t="str">
        <f t="shared" si="180"/>
        <v>DriveAnon's 4chan Drive/2. EVERYONE ELSE'S JUMPS/4. WIP</v>
      </c>
    </row>
    <row r="895">
      <c r="A895" s="12" t="str">
        <f>HYPERLINK("https://drive.google.com/file/d/1xSTVrGjodSJjTTkfoR0siPe9Q3F74L3B/view?usp=drivesdk","Greek Mythology JumpChain.pdf")</f>
        <v>Greek Mythology JumpChain.pdf</v>
      </c>
      <c r="B895" s="12" t="str">
        <f t="shared" si="180"/>
        <v>DriveAnon's 4chan Drive/2. EVERYONE ELSE'S JUMPS/4. WIP</v>
      </c>
    </row>
    <row r="896">
      <c r="A896" s="12" t="str">
        <f>HYPERLINK("https://drive.google.com/file/d/1yHYton84YJ3eQc-H-cXRZuBXPPMsNcxI/view?usp=drivesdk","Oathbound.pdf")</f>
        <v>Oathbound.pdf</v>
      </c>
      <c r="B896" s="12" t="str">
        <f t="shared" si="180"/>
        <v>DriveAnon's 4chan Drive/2. EVERYONE ELSE'S JUMPS/4. WIP</v>
      </c>
    </row>
    <row r="897">
      <c r="A897" s="12" t="str">
        <f>HYPERLINK("https://drive.google.com/file/d/1zsxVl3r07tsRbChOgDDMD4jUfss8e5KZ/view?usp=drivesdk","Starship Troopers JumpChain.pdf")</f>
        <v>Starship Troopers JumpChain.pdf</v>
      </c>
      <c r="B897" s="12" t="str">
        <f t="shared" si="180"/>
        <v>DriveAnon's 4chan Drive/2. EVERYONE ELSE'S JUMPS/4. WIP</v>
      </c>
    </row>
    <row r="898">
      <c r="A898" s="12" t="str">
        <f>HYPERLINK("https://drive.google.com/file/d/1zvt00nIXE6aoninpZDlKbg3tNepR4xMI/view?usp=drivesdk","Momodora JumpChain v0.9.2.pdf")</f>
        <v>Momodora JumpChain v0.9.2.pdf</v>
      </c>
      <c r="B898" s="12" t="str">
        <f t="shared" si="180"/>
        <v>DriveAnon's 4chan Drive/2. EVERYONE ELSE'S JUMPS/4. WIP</v>
      </c>
    </row>
    <row r="899">
      <c r="A899" s="12" t="str">
        <f>HYPERLINK("https://drive.google.com/file/d/1E3B8eE2xAZaiirKVrWK94ngf2mUE-vff/view?usp=drivesdk","World War 2  Jumpchain intro.pdf")</f>
        <v>World War 2  Jumpchain intro.pdf</v>
      </c>
      <c r="B899" s="12" t="str">
        <f t="shared" ref="B899:B901" si="181">HYPERLINK("https://drive.google.com/drive/folders/1_W-J7hvpYxJR7i8bl_pFk7l1CDYkG86A","DriveAnon's 4chan Drive/2. EVERYONE ELSE'S JUMPS/4. WIP/World War 2 JumpChain")</f>
        <v>DriveAnon's 4chan Drive/2. EVERYONE ELSE'S JUMPS/4. WIP/World War 2 JumpChain</v>
      </c>
    </row>
    <row r="900">
      <c r="A900" s="12" t="str">
        <f>HYPERLINK("https://drive.google.com/file/d/1RjRxdLqTZVXF5k_HaEoGxnyUQafQKrYs/view?usp=drivesdk","WW2 Commander Path.pdf")</f>
        <v>WW2 Commander Path.pdf</v>
      </c>
      <c r="B900" s="12" t="str">
        <f t="shared" si="181"/>
        <v>DriveAnon's 4chan Drive/2. EVERYONE ELSE'S JUMPS/4. WIP/World War 2 JumpChain</v>
      </c>
    </row>
    <row r="901">
      <c r="A901" s="12" t="str">
        <f>HYPERLINK("https://drive.google.com/file/d/1sGbRhWXi_qcs26RtWKj-SoM1Z5MsxY9x/view?usp=drivesdk","World War 2 (WIP) JumpChain.pdf")</f>
        <v>World War 2 (WIP) JumpChain.pdf</v>
      </c>
      <c r="B901" s="12" t="str">
        <f t="shared" si="181"/>
        <v>DriveAnon's 4chan Drive/2. EVERYONE ELSE'S JUMPS/4. WIP/World War 2 JumpChain</v>
      </c>
    </row>
    <row r="902">
      <c r="A902" s="12" t="str">
        <f>HYPERLINK("https://drive.google.com/file/d/1D0Bavvd7RXmyUdXFh4cYwQ--GdsE98Bl/view?usp=drivesdk","Deadlands JumpChain.pdf")</f>
        <v>Deadlands JumpChain.pdf</v>
      </c>
      <c r="B902" s="12" t="str">
        <f t="shared" ref="B902:B903" si="182">HYPERLINK("https://drive.google.com/drive/folders/1zmslaVO_ePKHQyPPB1UZoByFVy0inghg","DriveAnon's 4chan Drive/2. EVERYONE ELSE'S JUMPS/4. WIP/Jumps up for Adoption")</f>
        <v>DriveAnon's 4chan Drive/2. EVERYONE ELSE'S JUMPS/4. WIP/Jumps up for Adoption</v>
      </c>
    </row>
    <row r="903">
      <c r="A903" s="12" t="str">
        <f>HYPERLINK("https://drive.google.com/file/d/1KgAkwfnqdnwr8VAhzdBTG55un9IUqAQD/view?usp=drivesdk","Mortasheen (2).pdf")</f>
        <v>Mortasheen (2).pdf</v>
      </c>
      <c r="B903" s="12" t="str">
        <f t="shared" si="182"/>
        <v>DriveAnon's 4chan Drive/2. EVERYONE ELSE'S JUMPS/4. WIP/Jumps up for Adoption</v>
      </c>
    </row>
    <row r="904">
      <c r="A904" s="12" t="str">
        <f>HYPERLINK("https://drive.google.com/file/d/1wofksO9Vf9lD7LGygBRBqNkWIFniKtDP/view?usp=drivesdk","How to Train your Dragon JumpChain (Outline).txt")</f>
        <v>How to Train your Dragon JumpChain (Outline).txt</v>
      </c>
      <c r="B904" s="12" t="str">
        <f>HYPERLINK("https://drive.google.com/drive/folders/1aAk3p7NahX2TEpmcaDrGEExwl_FCkSR5","DriveAnon's 4chan Drive/2. EVERYONE ELSE'S JUMPS/4. WIP/Jumps up for Adoption/(Incomplete) How to Train Your Dragon JumpChain")</f>
        <v>DriveAnon's 4chan Drive/2. EVERYONE ELSE'S JUMPS/4. WIP/Jumps up for Adoption/(Incomplete) How to Train Your Dragon JumpChain</v>
      </c>
    </row>
    <row r="905">
      <c r="A905" s="12" t="str">
        <f>HYPERLINK("https://drive.google.com/file/d/1PG45SCCt6q0PJwnCeCGQL9lfdnATvt4K/view?usp=drivesdk","Generic Videogame Designer CYOA.rtf")</f>
        <v>Generic Videogame Designer CYOA.rtf</v>
      </c>
      <c r="B905" s="12" t="str">
        <f t="shared" ref="B905:B906" si="183">HYPERLINK("https://drive.google.com/drive/folders/1z4-DHzgCITQhPoe60fPrS_Uc81kGFbQo","DriveAnon's 4chan Drive/2. EVERYONE ELSE'S JUMPS/4. WIP/Jumps up for Adoption/(Incomplete) Generic Videogame Designer JumpChain")</f>
        <v>DriveAnon's 4chan Drive/2. EVERYONE ELSE'S JUMPS/4. WIP/Jumps up for Adoption/(Incomplete) Generic Videogame Designer JumpChain</v>
      </c>
    </row>
    <row r="906">
      <c r="A906" s="12" t="str">
        <f>HYPERLINK("https://drive.google.com/file/d/1t1flbkOaI6WHvdtCepuFojwfWQl4t9hK/view?usp=drivesdk","Generic Videogame Designer CYOA.pdf")</f>
        <v>Generic Videogame Designer CYOA.pdf</v>
      </c>
      <c r="B906" s="12" t="str">
        <f t="shared" si="183"/>
        <v>DriveAnon's 4chan Drive/2. EVERYONE ELSE'S JUMPS/4. WIP/Jumps up for Adoption/(Incomplete) Generic Videogame Designer JumpChain</v>
      </c>
    </row>
    <row r="907">
      <c r="A907" s="12" t="str">
        <f>HYPERLINK("https://drive.google.com/file/d/10nmv0sPSR8my46XllUDobThj206NjkW-/view?usp=drivesdk","Call of Duty JumpChain (Outline).txt")</f>
        <v>Call of Duty JumpChain (Outline).txt</v>
      </c>
      <c r="B907" s="12" t="str">
        <f t="shared" ref="B907:B910" si="184">HYPERLINK("https://drive.google.com/drive/folders/1a97evzsoSaIITy-AI1TCLU9Uer2sY58s","DriveAnon's 4chan Drive/2. EVERYONE ELSE'S JUMPS/4. WIP/Jumps up for Adoption/(Incomplete) Call of Duty JumpChain")</f>
        <v>DriveAnon's 4chan Drive/2. EVERYONE ELSE'S JUMPS/4. WIP/Jumps up for Adoption/(Incomplete) Call of Duty JumpChain</v>
      </c>
    </row>
    <row r="908">
      <c r="A908" s="12" t="str">
        <f>HYPERLINK("https://drive.google.com/file/d/1KDhG5NBQOoPL_k4MlREVwVJO_v95od3X/view?usp=drivesdk","Call of Duty JumpChain.odt")</f>
        <v>Call of Duty JumpChain.odt</v>
      </c>
      <c r="B908" s="12" t="str">
        <f t="shared" si="184"/>
        <v>DriveAnon's 4chan Drive/2. EVERYONE ELSE'S JUMPS/4. WIP/Jumps up for Adoption/(Incomplete) Call of Duty JumpChain</v>
      </c>
    </row>
    <row r="909">
      <c r="A909" s="12" t="str">
        <f>HYPERLINK("https://drive.google.com/file/d/1VzsygbEbgwUhSHt1C5xPNERMu2NQfXwu/view?usp=drivesdk","Call of Duty JumpChain [WIP].pdf")</f>
        <v>Call of Duty JumpChain [WIP].pdf</v>
      </c>
      <c r="B909" s="12" t="str">
        <f t="shared" si="184"/>
        <v>DriveAnon's 4chan Drive/2. EVERYONE ELSE'S JUMPS/4. WIP/Jumps up for Adoption/(Incomplete) Call of Duty JumpChain</v>
      </c>
    </row>
    <row r="910">
      <c r="A910" s="12" t="str">
        <f>HYPERLINK("https://drive.google.com/file/d/1hUXheN0U0s7irGjy2f0zbB_8UiT5gVDt/view?usp=drivesdk","Call of Duty JumpChain (Notes).txt")</f>
        <v>Call of Duty JumpChain (Notes).txt</v>
      </c>
      <c r="B910" s="12" t="str">
        <f t="shared" si="184"/>
        <v>DriveAnon's 4chan Drive/2. EVERYONE ELSE'S JUMPS/4. WIP/Jumps up for Adoption/(Incomplete) Call of Duty JumpChain</v>
      </c>
    </row>
    <row r="911">
      <c r="A911" s="12" t="str">
        <f>HYPERLINK("https://drive.google.com/file/d/1sp_4-wGwYbOFoUE4ljFd4dlqGNREyG90/view?usp=drivesdk","Ideology Waifu Shitpost.pdf")</f>
        <v>Ideology Waifu Shitpost.pdf</v>
      </c>
      <c r="B911" s="12" t="str">
        <f t="shared" ref="B911:B925" si="185">HYPERLINK("https://drive.google.com/drive/folders/1sXG3fQsRvaeh0GRLAqhucAx2kd27I_lI","DriveAnon's 4chan Drive/2. EVERYONE ELSE'S JUMPS/8. Joke Jumps")</f>
        <v>DriveAnon's 4chan Drive/2. EVERYONE ELSE'S JUMPS/8. Joke Jumps</v>
      </c>
    </row>
    <row r="912">
      <c r="A912" s="12" t="str">
        <f>HYPERLINK("https://drive.google.com/file/d/119opW6wFz2BU4A4fp8PJvXJzG7pCobj0/view?usp=drivesdk","Skellyton.pdf")</f>
        <v>Skellyton.pdf</v>
      </c>
      <c r="B912" s="12" t="str">
        <f t="shared" si="185"/>
        <v>DriveAnon's 4chan Drive/2. EVERYONE ELSE'S JUMPS/8. Joke Jumps</v>
      </c>
    </row>
    <row r="913">
      <c r="A913" s="12" t="str">
        <f>HYPERLINK("https://drive.google.com/file/d/16c7pxtFF9t9FViJUMgCs7k-B9aH7aMFQ/view?usp=drivesdk","Steamed Hams Gauntlet (Joke).pdf")</f>
        <v>Steamed Hams Gauntlet (Joke).pdf</v>
      </c>
      <c r="B913" s="12" t="str">
        <f t="shared" si="185"/>
        <v>DriveAnon's 4chan Drive/2. EVERYONE ELSE'S JUMPS/8. Joke Jumps</v>
      </c>
    </row>
    <row r="914">
      <c r="A914" s="12" t="str">
        <f>HYPERLINK("https://drive.google.com/file/d/18jUEcFpfp30L9pjxcpnbjQaC2rDhZsxk/view?usp=drivesdk","Generic Tvtropes Five Man Band.pdf")</f>
        <v>Generic Tvtropes Five Man Band.pdf</v>
      </c>
      <c r="B914" s="12" t="str">
        <f t="shared" si="185"/>
        <v>DriveAnon's 4chan Drive/2. EVERYONE ELSE'S JUMPS/8. Joke Jumps</v>
      </c>
    </row>
    <row r="915">
      <c r="A915" s="12" t="str">
        <f>HYPERLINK("https://drive.google.com/file/d/1CV31wjdm8ELpc7rZsKp41p2XPXzMg_cK/view?usp=drivesdk","High Quality Undertale Jump (SiIvagunner Joke Jump).pdf")</f>
        <v>High Quality Undertale Jump (SiIvagunner Joke Jump).pdf</v>
      </c>
      <c r="B915" s="12" t="str">
        <f t="shared" si="185"/>
        <v>DriveAnon's 4chan Drive/2. EVERYONE ELSE'S JUMPS/8. Joke Jumps</v>
      </c>
    </row>
    <row r="916">
      <c r="A916" s="12" t="str">
        <f>HYPERLINK("https://drive.google.com/file/d/1H99EzmbcaggRGVbeH31XOQi9pjZBzU8C/view?usp=drivesdk","SALT Jumpchain.pdf")</f>
        <v>SALT Jumpchain.pdf</v>
      </c>
      <c r="B916" s="12" t="str">
        <f t="shared" si="185"/>
        <v>DriveAnon's 4chan Drive/2. EVERYONE ELSE'S JUMPS/8. Joke Jumps</v>
      </c>
    </row>
    <row r="917">
      <c r="A917" s="12" t="str">
        <f>HYPERLINK("https://drive.google.com/file/d/1LRsCLfYw15U0PotOQXJP4KHey8ohMWqK/view?usp=drivesdk","SALT JumpChain v3.0.pdf")</f>
        <v>SALT JumpChain v3.0.pdf</v>
      </c>
      <c r="B917" s="12" t="str">
        <f t="shared" si="185"/>
        <v>DriveAnon's 4chan Drive/2. EVERYONE ELSE'S JUMPS/8. Joke Jumps</v>
      </c>
    </row>
    <row r="918">
      <c r="A918" s="12" t="str">
        <f>HYPERLINK("https://drive.google.com/file/d/1QD9hFVAZhohND1FAA6wZCCpTOgq4nO4r/view?usp=drivesdk","Sliders JumpChain.pdf")</f>
        <v>Sliders JumpChain.pdf</v>
      </c>
      <c r="B918" s="12" t="str">
        <f t="shared" si="185"/>
        <v>DriveAnon's 4chan Drive/2. EVERYONE ELSE'S JUMPS/8. Joke Jumps</v>
      </c>
    </row>
    <row r="919">
      <c r="A919" s="12" t="str">
        <f>HYPERLINK("https://drive.google.com/file/d/1QMIEuKSCQjetLoHm2CnRLowd_fSqTRLE/view?usp=drivesdk","Jumper Parable.pdf")</f>
        <v>Jumper Parable.pdf</v>
      </c>
      <c r="B919" s="12" t="str">
        <f t="shared" si="185"/>
        <v>DriveAnon's 4chan Drive/2. EVERYONE ELSE'S JUMPS/8. Joke Jumps</v>
      </c>
    </row>
    <row r="920">
      <c r="A920" s="12" t="str">
        <f>HYPERLINK("https://drive.google.com/file/d/1apduVN8njUHY5rxcY3D3nvFCkUziziD_/view?usp=drivesdk","THEGLORIOUSVAULT (Joke Jump).pdf")</f>
        <v>THEGLORIOUSVAULT (Joke Jump).pdf</v>
      </c>
      <c r="B920" s="12" t="str">
        <f t="shared" si="185"/>
        <v>DriveAnon's 4chan Drive/2. EVERYONE ELSE'S JUMPS/8. Joke Jumps</v>
      </c>
    </row>
    <row r="921">
      <c r="A921" s="12" t="str">
        <f>HYPERLINK("https://drive.google.com/file/d/1oEqF1hUYHDTYraFmLJivN3miuRTLUShr/view?usp=drivesdk","MLG PRO JumpChain.pdf")</f>
        <v>MLG PRO JumpChain.pdf</v>
      </c>
      <c r="B921" s="12" t="str">
        <f t="shared" si="185"/>
        <v>DriveAnon's 4chan Drive/2. EVERYONE ELSE'S JUMPS/8. Joke Jumps</v>
      </c>
    </row>
    <row r="922">
      <c r="A922" s="12" t="str">
        <f>HYPERLINK("https://docs.google.com/document/d/1uGAyS7zX4odQJkRlo4u02gqfcwHPr5cH/edit?usp=drivesdk&amp;ouid=115153177157280896651&amp;rtpof=true&amp;sd=true","0. RULES OF JOKE JUMPS.docx")</f>
        <v>0. RULES OF JOKE JUMPS.docx</v>
      </c>
      <c r="B922" s="12" t="str">
        <f t="shared" si="185"/>
        <v>DriveAnon's 4chan Drive/2. EVERYONE ELSE'S JUMPS/8. Joke Jumps</v>
      </c>
    </row>
    <row r="923">
      <c r="A923" s="12" t="str">
        <f>HYPERLINK("https://drive.google.com/file/d/1vhQGu5gvjo4HytSJ9zUF-BjLOCldjqqK/view?usp=drivesdk","Jurassic Loli JumpChain.pdf")</f>
        <v>Jurassic Loli JumpChain.pdf</v>
      </c>
      <c r="B923" s="12" t="str">
        <f t="shared" si="185"/>
        <v>DriveAnon's 4chan Drive/2. EVERYONE ELSE'S JUMPS/8. Joke Jumps</v>
      </c>
    </row>
    <row r="924">
      <c r="A924" s="12" t="str">
        <f>HYPERLINK("https://drive.google.com/file/d/1zukNpzO3JzPth7BNAVUOZVKDRCsjguzD/view?usp=drivesdk","Suggsverse Jumpchain _ JOKE JUMP.pdf")</f>
        <v>Suggsverse Jumpchain _ JOKE JUMP.pdf</v>
      </c>
      <c r="B924" s="12" t="str">
        <f t="shared" si="185"/>
        <v>DriveAnon's 4chan Drive/2. EVERYONE ELSE'S JUMPS/8. Joke Jumps</v>
      </c>
    </row>
    <row r="925">
      <c r="A925" s="12" t="str">
        <f>HYPERLINK("https://drive.google.com/file/d/1smeCesXceC57re5sDU3QTCj-QWF0QZYj/view?usp=drivesdk","Raid Shadow Legends (Joke Jump).pdf")</f>
        <v>Raid Shadow Legends (Joke Jump).pdf</v>
      </c>
      <c r="B925" s="12" t="str">
        <f t="shared" si="185"/>
        <v>DriveAnon's 4chan Drive/2. EVERYONE ELSE'S JUMPS/8. Joke Jumps</v>
      </c>
    </row>
    <row r="926">
      <c r="A926" s="12" t="str">
        <f>HYPERLINK("https://drive.google.com/file/d/1_aMebdb114e5Dw-xAl2kpadjIcpq3w3z/view?usp=drivesdk","Jumpchain Roommate CYOA Christmas Card.jpg")</f>
        <v>Jumpchain Roommate CYOA Christmas Card.jpg</v>
      </c>
      <c r="B926" s="12" t="str">
        <f t="shared" ref="B926:B928" si="186">HYPERLINK("https://drive.google.com/drive/folders/1u9v6F7MWG2z0wRx6cFyB1TQ7IzE4p2YJ","DriveAnon's 4chan Drive/2. EVERYONE ELSE'S JUMPS/8. Joke Jumps/Christmas Cards")</f>
        <v>DriveAnon's 4chan Drive/2. EVERYONE ELSE'S JUMPS/8. Joke Jumps/Christmas Cards</v>
      </c>
    </row>
    <row r="927">
      <c r="A927" s="12" t="str">
        <f>HYPERLINK("https://drive.google.com/file/d/1d7SLsakOmRUBZ0wjIgjIJtyRHU1uiwGu/view?usp=drivesdk","Merry Xmas from JC - Pain on the Eyes Version.pdf")</f>
        <v>Merry Xmas from JC - Pain on the Eyes Version.pdf</v>
      </c>
      <c r="B927" s="12" t="str">
        <f t="shared" si="186"/>
        <v>DriveAnon's 4chan Drive/2. EVERYONE ELSE'S JUMPS/8. Joke Jumps/Christmas Cards</v>
      </c>
    </row>
    <row r="928">
      <c r="A928" s="12" t="str">
        <f>HYPERLINK("https://drive.google.com/file/d/1giB6e77XHtFAWdZRupsmbEGV6YM8Yvl2/view?usp=drivesdk","Merry Xmas from JC [C 0.99].pdf")</f>
        <v>Merry Xmas from JC [C 0.99].pdf</v>
      </c>
      <c r="B928" s="12" t="str">
        <f t="shared" si="186"/>
        <v>DriveAnon's 4chan Drive/2. EVERYONE ELSE'S JUMPS/8. Joke Jumps/Christmas Cards</v>
      </c>
    </row>
    <row r="929">
      <c r="A929" s="12" t="str">
        <f>HYPERLINK("https://drive.google.com/file/d/1NBfYjlH7ANNV_-D8d4Se9KIPAUkywSbu/view?usp=drivesdk","Out Of Cruel Space.pdf")</f>
        <v>Out Of Cruel Space.pdf</v>
      </c>
      <c r="B929" s="12" t="str">
        <f t="shared" ref="B929:B1061" si="187">HYPERLINK("https://drive.google.com/drive/folders/1EVWYvadxFZdPrCZlQPtlM2IT3ADW6NQG","DriveAnon's 4chan Drive/2. EVERYONE ELSE'S JUMPS/2. Complete but need image work/L-P Jumps")</f>
        <v>DriveAnon's 4chan Drive/2. EVERYONE ELSE'S JUMPS/2. Complete but need image work/L-P Jumps</v>
      </c>
    </row>
    <row r="930">
      <c r="A930" s="12" t="str">
        <f>HYPERLINK("https://drive.google.com/file/d/1Vkl78RTlgKeRtZ81ezS9yO4bDqm63lZs/view?usp=drivesdk","Lollipop Chainsaw.pdf")</f>
        <v>Lollipop Chainsaw.pdf</v>
      </c>
      <c r="B930" s="12" t="str">
        <f t="shared" si="187"/>
        <v>DriveAnon's 4chan Drive/2. EVERYONE ELSE'S JUMPS/2. Complete but need image work/L-P Jumps</v>
      </c>
    </row>
    <row r="931">
      <c r="A931" s="12" t="str">
        <f>HYPERLINK("https://drive.google.com/file/d/1UZ8s0HqRwJk24NUaWqFeDAlta2EZF2p6/view?usp=drivesdk","Matthew Reilly Universe.pdf")</f>
        <v>Matthew Reilly Universe.pdf</v>
      </c>
      <c r="B931" s="12" t="str">
        <f t="shared" si="187"/>
        <v>DriveAnon's 4chan Drive/2. EVERYONE ELSE'S JUMPS/2. Complete but need image work/L-P Jumps</v>
      </c>
    </row>
    <row r="932">
      <c r="A932" s="12" t="str">
        <f>HYPERLINK("https://drive.google.com/file/d/1jYNYPQUvuxc7veMl9HCDSyl3Kne-KtQ6/view?usp=drivesdk","Metroid.pdf")</f>
        <v>Metroid.pdf</v>
      </c>
      <c r="B932" s="12" t="str">
        <f t="shared" si="187"/>
        <v>DriveAnon's 4chan Drive/2. EVERYONE ELSE'S JUMPS/2. Complete but need image work/L-P Jumps</v>
      </c>
    </row>
    <row r="933">
      <c r="A933" s="12" t="str">
        <f>HYPERLINK("https://drive.google.com/file/d/1SAL-SjQM3m2qCU-AQ96NyPkfCaq5lwAs/view?usp=drivesdk","Nobilis.pdf")</f>
        <v>Nobilis.pdf</v>
      </c>
      <c r="B933" s="12" t="str">
        <f t="shared" si="187"/>
        <v>DriveAnon's 4chan Drive/2. EVERYONE ELSE'S JUMPS/2. Complete but need image work/L-P Jumps</v>
      </c>
    </row>
    <row r="934">
      <c r="A934" s="12" t="str">
        <f>HYPERLINK("https://drive.google.com/file/d/1QojEuoKADE23hzAv6iENQyaQpu9jauDs/view?usp=drivesdk","Pixels.pdf")</f>
        <v>Pixels.pdf</v>
      </c>
      <c r="B934" s="12" t="str">
        <f t="shared" si="187"/>
        <v>DriveAnon's 4chan Drive/2. EVERYONE ELSE'S JUMPS/2. Complete but need image work/L-P Jumps</v>
      </c>
    </row>
    <row r="935">
      <c r="A935" s="12" t="str">
        <f>HYPERLINK("https://drive.google.com/file/d/1XRMWatMTfLN-AZRZJ4iH8oI5gBcxxJyd/view?usp=drivesdk","Maken-Ki!.pdf")</f>
        <v>Maken-Ki!.pdf</v>
      </c>
      <c r="B935" s="12" t="str">
        <f t="shared" si="187"/>
        <v>DriveAnon's 4chan Drive/2. EVERYONE ELSE'S JUMPS/2. Complete but need image work/L-P Jumps</v>
      </c>
    </row>
    <row r="936">
      <c r="A936" s="12" t="str">
        <f>HYPERLINK("https://drive.google.com/file/d/1nBjwEAuImftB-c2U5bosjvLG7KsJxRmQ/view?usp=drivesdk","Poka The Blind Girl.pdf")</f>
        <v>Poka The Blind Girl.pdf</v>
      </c>
      <c r="B936" s="12" t="str">
        <f t="shared" si="187"/>
        <v>DriveAnon's 4chan Drive/2. EVERYONE ELSE'S JUMPS/2. Complete but need image work/L-P Jumps</v>
      </c>
    </row>
    <row r="937">
      <c r="A937" s="12" t="str">
        <f>HYPERLINK("https://drive.google.com/file/d/1a9N0bd_SIqADrPj59dEVxZRlPP2tWRh1/view?usp=drivesdk","My Name Is Earl.pdf")</f>
        <v>My Name Is Earl.pdf</v>
      </c>
      <c r="B937" s="12" t="str">
        <f t="shared" si="187"/>
        <v>DriveAnon's 4chan Drive/2. EVERYONE ELSE'S JUMPS/2. Complete but need image work/L-P Jumps</v>
      </c>
    </row>
    <row r="938">
      <c r="A938" s="12" t="str">
        <f>HYPERLINK("https://drive.google.com/file/d/1uRciel1OHi8VsqqwxyZKSB2rqM1S8hbB/view?usp=drivesdk","Mushoku Tensei.pdf")</f>
        <v>Mushoku Tensei.pdf</v>
      </c>
      <c r="B938" s="12" t="str">
        <f t="shared" si="187"/>
        <v>DriveAnon's 4chan Drive/2. EVERYONE ELSE'S JUMPS/2. Complete but need image work/L-P Jumps</v>
      </c>
    </row>
    <row r="939">
      <c r="A939" s="12" t="str">
        <f>HYPERLINK("https://drive.google.com/file/d/1aeOGfVvrjPlqJuZF0uyExIUu4qOiCmcQ/view?usp=drivesdk","Lensman Saga.pdf")</f>
        <v>Lensman Saga.pdf</v>
      </c>
      <c r="B939" s="12" t="str">
        <f t="shared" si="187"/>
        <v>DriveAnon's 4chan Drive/2. EVERYONE ELSE'S JUMPS/2. Complete but need image work/L-P Jumps</v>
      </c>
    </row>
    <row r="940">
      <c r="A940" s="12" t="str">
        <f>HYPERLINK("https://drive.google.com/file/d/1I8MLrhfcJYZUn0llsARaY7k-LDaUHJym/view?usp=drivesdk","Lyrical Nanoha.pdf")</f>
        <v>Lyrical Nanoha.pdf</v>
      </c>
      <c r="B940" s="12" t="str">
        <f t="shared" si="187"/>
        <v>DriveAnon's 4chan Drive/2. EVERYONE ELSE'S JUMPS/2. Complete but need image work/L-P Jumps</v>
      </c>
    </row>
    <row r="941">
      <c r="A941" s="12" t="str">
        <f>HYPERLINK("https://drive.google.com/file/d/1g1be3NR1G9C7uwyrxLWdTnV_vMGBr9n3/view?usp=drivesdk","Mugen Souls.pdf")</f>
        <v>Mugen Souls.pdf</v>
      </c>
      <c r="B941" s="12" t="str">
        <f t="shared" si="187"/>
        <v>DriveAnon's 4chan Drive/2. EVERYONE ELSE'S JUMPS/2. Complete but need image work/L-P Jumps</v>
      </c>
    </row>
    <row r="942">
      <c r="A942" s="12" t="str">
        <f>HYPERLINK("https://drive.google.com/file/d/1VZGMp3mtMIT0-KKW48Qq3VKaOAQ2Lqn5/view?usp=drivesdk","Paddington.pdf")</f>
        <v>Paddington.pdf</v>
      </c>
      <c r="B942" s="12" t="str">
        <f t="shared" si="187"/>
        <v>DriveAnon's 4chan Drive/2. EVERYONE ELSE'S JUMPS/2. Complete but need image work/L-P Jumps</v>
      </c>
    </row>
    <row r="943">
      <c r="A943" s="12" t="str">
        <f>HYPERLINK("https://drive.google.com/file/d/1H9Bm88MKCKEeaE_-8qT2a88SVEP-ro3B/view?usp=drivesdk","Nadia - The Secret of Blue Water.pdf")</f>
        <v>Nadia - The Secret of Blue Water.pdf</v>
      </c>
      <c r="B943" s="12" t="str">
        <f t="shared" si="187"/>
        <v>DriveAnon's 4chan Drive/2. EVERYONE ELSE'S JUMPS/2. Complete but need image work/L-P Jumps</v>
      </c>
    </row>
    <row r="944">
      <c r="A944" s="12" t="str">
        <f>HYPERLINK("https://drive.google.com/file/d/1gWhs0BRE-o6AXc5ekHPeqFGQ-Eoxa4qM/view?usp=drivesdk","Metro 2033.pdf")</f>
        <v>Metro 2033.pdf</v>
      </c>
      <c r="B944" s="12" t="str">
        <f t="shared" si="187"/>
        <v>DriveAnon's 4chan Drive/2. EVERYONE ELSE'S JUMPS/2. Complete but need image work/L-P Jumps</v>
      </c>
    </row>
    <row r="945">
      <c r="A945" s="12" t="str">
        <f>HYPERLINK("https://drive.google.com/file/d/1cpgo9-NPH3_IYsz01oRYQUK2JhrtNGsS/view?usp=drivesdk","Mononokehime.pdf")</f>
        <v>Mononokehime.pdf</v>
      </c>
      <c r="B945" s="12" t="str">
        <f t="shared" si="187"/>
        <v>DriveAnon's 4chan Drive/2. EVERYONE ELSE'S JUMPS/2. Complete but need image work/L-P Jumps</v>
      </c>
    </row>
    <row r="946">
      <c r="A946" s="12" t="str">
        <f>HYPERLINK("https://drive.google.com/file/d/1WsBDxsbLgQIPZCgtyh5DI9z8d1zwYd9z/view?usp=drivesdk","Paprika.pdf")</f>
        <v>Paprika.pdf</v>
      </c>
      <c r="B946" s="12" t="str">
        <f t="shared" si="187"/>
        <v>DriveAnon's 4chan Drive/2. EVERYONE ELSE'S JUMPS/2. Complete but need image work/L-P Jumps</v>
      </c>
    </row>
    <row r="947">
      <c r="A947" s="12" t="str">
        <f>HYPERLINK("https://drive.google.com/file/d/12yDVqUeWqmTjbiT_L3Vz8OmxheUv3sAz/view?usp=drivesdk","Monaco - What’s Yours is Mine.pdf")</f>
        <v>Monaco - What’s Yours is Mine.pdf</v>
      </c>
      <c r="B947" s="12" t="str">
        <f t="shared" si="187"/>
        <v>DriveAnon's 4chan Drive/2. EVERYONE ELSE'S JUMPS/2. Complete but need image work/L-P Jumps</v>
      </c>
    </row>
    <row r="948">
      <c r="A948" s="12" t="str">
        <f>HYPERLINK("https://drive.google.com/file/d/1rwZ4ysGy8cKlRd6SkXHs3bylZ7bpwJ_1/view?usp=drivesdk","OFF.pdf")</f>
        <v>OFF.pdf</v>
      </c>
      <c r="B948" s="12" t="str">
        <f t="shared" si="187"/>
        <v>DriveAnon's 4chan Drive/2. EVERYONE ELSE'S JUMPS/2. Complete but need image work/L-P Jumps</v>
      </c>
    </row>
    <row r="949">
      <c r="A949" s="12" t="str">
        <f>HYPERLINK("https://drive.google.com/file/d/1GRiuKPCtxYN3OiE4FQEqsfVuX8o84D2h/view?usp=drivesdk","Monster Rancher.pdf")</f>
        <v>Monster Rancher.pdf</v>
      </c>
      <c r="B949" s="12" t="str">
        <f t="shared" si="187"/>
        <v>DriveAnon's 4chan Drive/2. EVERYONE ELSE'S JUMPS/2. Complete but need image work/L-P Jumps</v>
      </c>
    </row>
    <row r="950">
      <c r="A950" s="12" t="str">
        <f>HYPERLINK("https://drive.google.com/file/d/1Lf3uqiTLQRsCHf4pLxbfMm3EoEGruQ3y/view?usp=drivesdk","Monkey Island.pdf")</f>
        <v>Monkey Island.pdf</v>
      </c>
      <c r="B950" s="12" t="str">
        <f t="shared" si="187"/>
        <v>DriveAnon's 4chan Drive/2. EVERYONE ELSE'S JUMPS/2. Complete but need image work/L-P Jumps</v>
      </c>
    </row>
    <row r="951">
      <c r="A951" s="12" t="str">
        <f>HYPERLINK("https://drive.google.com/file/d/1Gxh2UmHkc1szjvlH2Z3lK0B1G8JS79I3/view?usp=drivesdk","Psyren.pdf")</f>
        <v>Psyren.pdf</v>
      </c>
      <c r="B951" s="12" t="str">
        <f t="shared" si="187"/>
        <v>DriveAnon's 4chan Drive/2. EVERYONE ELSE'S JUMPS/2. Complete but need image work/L-P Jumps</v>
      </c>
    </row>
    <row r="952">
      <c r="A952" s="12" t="str">
        <f>HYPERLINK("https://drive.google.com/file/d/1Dn8NEa-tMtllGjyI_T1ZNbCdrfyVzEAX/view?usp=drivesdk","Ninja Assassin JumpChain.pdf")</f>
        <v>Ninja Assassin JumpChain.pdf</v>
      </c>
      <c r="B952" s="12" t="str">
        <f t="shared" si="187"/>
        <v>DriveAnon's 4chan Drive/2. EVERYONE ELSE'S JUMPS/2. Complete but need image work/L-P Jumps</v>
      </c>
    </row>
    <row r="953">
      <c r="A953" s="12" t="str">
        <f>HYPERLINK("https://drive.google.com/file/d/1NspdLp9gwy7LNy0g_76VRXn2Bg26RHBQ/view?usp=drivesdk","Prey JumpChain.pdf")</f>
        <v>Prey JumpChain.pdf</v>
      </c>
      <c r="B953" s="12" t="str">
        <f t="shared" si="187"/>
        <v>DriveAnon's 4chan Drive/2. EVERYONE ELSE'S JUMPS/2. Complete but need image work/L-P Jumps</v>
      </c>
    </row>
    <row r="954">
      <c r="A954" s="12" t="str">
        <f>HYPERLINK("https://drive.google.com/file/d/1RM7NOT_OX7MEl7BYQszVe-mz5AHleWMt/view?usp=drivesdk","Nightmare City JumpChain.pdf")</f>
        <v>Nightmare City JumpChain.pdf</v>
      </c>
      <c r="B954" s="12" t="str">
        <f t="shared" si="187"/>
        <v>DriveAnon's 4chan Drive/2. EVERYONE ELSE'S JUMPS/2. Complete but need image work/L-P Jumps</v>
      </c>
    </row>
    <row r="955">
      <c r="A955" s="12" t="str">
        <f>HYPERLINK("https://drive.google.com/file/d/1Rzmb0FEsUWhaVYFjcaC2aOhbuVXw-uxL/view?usp=drivesdk","NiGHTS Into Dreams JumpChain.pdf")</f>
        <v>NiGHTS Into Dreams JumpChain.pdf</v>
      </c>
      <c r="B955" s="12" t="str">
        <f t="shared" si="187"/>
        <v>DriveAnon's 4chan Drive/2. EVERYONE ELSE'S JUMPS/2. Complete but need image work/L-P Jumps</v>
      </c>
    </row>
    <row r="956">
      <c r="A956" s="12" t="str">
        <f>HYPERLINK("https://drive.google.com/file/d/1Vd94NSzGLTSHIiL0ngMspRP6-W6H2TEe/view?usp=drivesdk","Night In The Woods JumpChain.pdf")</f>
        <v>Night In The Woods JumpChain.pdf</v>
      </c>
      <c r="B956" s="12" t="str">
        <f t="shared" si="187"/>
        <v>DriveAnon's 4chan Drive/2. EVERYONE ELSE'S JUMPS/2. Complete but need image work/L-P Jumps</v>
      </c>
    </row>
    <row r="957">
      <c r="A957" s="12" t="str">
        <f>HYPERLINK("https://drive.google.com/file/d/1WwdsJ83bT_THmbQnB9KoykEwTIuAY1Hr/view?usp=drivesdk","Overwatch JumpChain.pdf")</f>
        <v>Overwatch JumpChain.pdf</v>
      </c>
      <c r="B957" s="12" t="str">
        <f t="shared" si="187"/>
        <v>DriveAnon's 4chan Drive/2. EVERYONE ELSE'S JUMPS/2. Complete but need image work/L-P Jumps</v>
      </c>
    </row>
    <row r="958">
      <c r="A958" s="12" t="str">
        <f>HYPERLINK("https://drive.google.com/file/d/1ZR9V0AO3XcE2aJEfArhBV4NWAIv5oCNY/view?usp=drivesdk","Petals of Reincarnation JumpChain.pdf")</f>
        <v>Petals of Reincarnation JumpChain.pdf</v>
      </c>
      <c r="B958" s="12" t="str">
        <f t="shared" si="187"/>
        <v>DriveAnon's 4chan Drive/2. EVERYONE ELSE'S JUMPS/2. Complete but need image work/L-P Jumps</v>
      </c>
    </row>
    <row r="959">
      <c r="A959" s="12" t="str">
        <f>HYPERLINK("https://drive.google.com/file/d/1gLhiH0Xq2d_Z9MjNuSYGaUlgfL9wni6e/view?usp=drivesdk","Noblesse (Oblige Edition) JumpChain.pdf")</f>
        <v>Noblesse (Oblige Edition) JumpChain.pdf</v>
      </c>
      <c r="B959" s="12" t="str">
        <f t="shared" si="187"/>
        <v>DriveAnon's 4chan Drive/2. EVERYONE ELSE'S JUMPS/2. Complete but need image work/L-P Jumps</v>
      </c>
    </row>
    <row r="960">
      <c r="A960" s="12" t="str">
        <f>HYPERLINK("https://drive.google.com/file/d/1mgCssNQgRrb2Rvu6k45cJCOzXuXQzHqD/view?usp=drivesdk","Onimusha Essentials JumpChain.pdf")</f>
        <v>Onimusha Essentials JumpChain.pdf</v>
      </c>
      <c r="B960" s="12" t="str">
        <f t="shared" si="187"/>
        <v>DriveAnon's 4chan Drive/2. EVERYONE ELSE'S JUMPS/2. Complete but need image work/L-P Jumps</v>
      </c>
    </row>
    <row r="961">
      <c r="A961" s="12" t="str">
        <f>HYPERLINK("https://drive.google.com/file/d/1pJAVCG2ovqvxlVfm4uqO6Ir4CbmwMijo/view?usp=drivesdk","OreGairu (My Teen Romantic Comedy SNAFU) JumpChain.pdf")</f>
        <v>OreGairu (My Teen Romantic Comedy SNAFU) JumpChain.pdf</v>
      </c>
      <c r="B961" s="12" t="str">
        <f t="shared" si="187"/>
        <v>DriveAnon's 4chan Drive/2. EVERYONE ELSE'S JUMPS/2. Complete but need image work/L-P Jumps</v>
      </c>
    </row>
    <row r="962">
      <c r="A962" s="12" t="str">
        <f>HYPERLINK("https://drive.google.com/file/d/1tk1kM0aKCX7jWHdpG5o84suxc-eVR-id/view?usp=drivesdk","Oda Nobuna JumpChain.pdf")</f>
        <v>Oda Nobuna JumpChain.pdf</v>
      </c>
      <c r="B962" s="12" t="str">
        <f t="shared" si="187"/>
        <v>DriveAnon's 4chan Drive/2. EVERYONE ELSE'S JUMPS/2. Complete but need image work/L-P Jumps</v>
      </c>
    </row>
    <row r="963">
      <c r="A963" s="12" t="str">
        <f>HYPERLINK("https://drive.google.com/file/d/1zWoY5J1Zh29MN2KAiIpFyS8pz3xDGNOB/view?usp=drivesdk","Oreimo JumpChain.pdf")</f>
        <v>Oreimo JumpChain.pdf</v>
      </c>
      <c r="B963" s="12" t="str">
        <f t="shared" si="187"/>
        <v>DriveAnon's 4chan Drive/2. EVERYONE ELSE'S JUMPS/2. Complete but need image work/L-P Jumps</v>
      </c>
    </row>
    <row r="964">
      <c r="A964" s="12" t="str">
        <f>HYPERLINK("https://drive.google.com/file/d/123Jkb66dc8cvJ6l-Ft9TJj-wO0aEJySe/view?usp=drivesdk","Pact JumpChain.pdf")</f>
        <v>Pact JumpChain.pdf</v>
      </c>
      <c r="B964" s="12" t="str">
        <f t="shared" si="187"/>
        <v>DriveAnon's 4chan Drive/2. EVERYONE ELSE'S JUMPS/2. Complete but need image work/L-P Jumps</v>
      </c>
    </row>
    <row r="965">
      <c r="A965" s="12" t="str">
        <f>HYPERLINK("https://drive.google.com/file/d/14qEoAOh9l1qyZ5hnAYE93O2KYVujRJvg/view?usp=drivesdk","Once Upon A Time Jumpchain.pdf")</f>
        <v>Once Upon A Time Jumpchain.pdf</v>
      </c>
      <c r="B965" s="12" t="str">
        <f t="shared" si="187"/>
        <v>DriveAnon's 4chan Drive/2. EVERYONE ELSE'S JUMPS/2. Complete but need image work/L-P Jumps</v>
      </c>
    </row>
    <row r="966">
      <c r="A966" s="12" t="str">
        <f>HYPERLINK("https://drive.google.com/file/d/1B-PCmpPGE2o92qnqgidv0JuSOw71cGbe/view?usp=drivesdk","Portal JumpChain.pdf")</f>
        <v>Portal JumpChain.pdf</v>
      </c>
      <c r="B966" s="12" t="str">
        <f t="shared" si="187"/>
        <v>DriveAnon's 4chan Drive/2. EVERYONE ELSE'S JUMPS/2. Complete but need image work/L-P Jumps</v>
      </c>
    </row>
    <row r="967">
      <c r="A967" s="12" t="str">
        <f>HYPERLINK("https://drive.google.com/file/d/1BPNQH4Zwb6MceNQqUb3GfR2caUqHkh-T/view?usp=drivesdk","NO GAME NO LIFE Jumpchain.pdf")</f>
        <v>NO GAME NO LIFE Jumpchain.pdf</v>
      </c>
      <c r="B967" s="12" t="str">
        <f t="shared" si="187"/>
        <v>DriveAnon's 4chan Drive/2. EVERYONE ELSE'S JUMPS/2. Complete but need image work/L-P Jumps</v>
      </c>
    </row>
    <row r="968">
      <c r="A968" s="12" t="str">
        <f>HYPERLINK("https://drive.google.com/file/d/1CFsJM1DCUpeRDCkQW07zGqWY51ecRaIr/view?usp=drivesdk","Primal Rage JumpChain.pdf")</f>
        <v>Primal Rage JumpChain.pdf</v>
      </c>
      <c r="B968" s="12" t="str">
        <f t="shared" si="187"/>
        <v>DriveAnon's 4chan Drive/2. EVERYONE ELSE'S JUMPS/2. Complete but need image work/L-P Jumps</v>
      </c>
    </row>
    <row r="969">
      <c r="A969" s="12" t="str">
        <f>HYPERLINK("https://drive.google.com/file/d/1FVy-qcY3TJKG8bxFG5dV0eMPQnVMP3CS/view?usp=drivesdk","Onechanbara JumpChain.pdf")</f>
        <v>Onechanbara JumpChain.pdf</v>
      </c>
      <c r="B969" s="12" t="str">
        <f t="shared" si="187"/>
        <v>DriveAnon's 4chan Drive/2. EVERYONE ELSE'S JUMPS/2. Complete but need image work/L-P Jumps</v>
      </c>
    </row>
    <row r="970">
      <c r="A970" s="12" t="str">
        <f>HYPERLINK("https://drive.google.com/file/d/1J6NaL9G86QgYV-UJyC-duKF6KzqN1lMA/view?usp=drivesdk","Neon Genesis Evangelion.pdf")</f>
        <v>Neon Genesis Evangelion.pdf</v>
      </c>
      <c r="B970" s="12" t="str">
        <f t="shared" si="187"/>
        <v>DriveAnon's 4chan Drive/2. EVERYONE ELSE'S JUMPS/2. Complete but need image work/L-P Jumps</v>
      </c>
    </row>
    <row r="971">
      <c r="A971" s="12" t="str">
        <f>HYPERLINK("https://drive.google.com/file/d/1K5SCmlVXqNy5XxE66VeOBFVic-oTw117/view?usp=drivesdk","Pikmin Jumpchain.pdf")</f>
        <v>Pikmin Jumpchain.pdf</v>
      </c>
      <c r="B971" s="12" t="str">
        <f t="shared" si="187"/>
        <v>DriveAnon's 4chan Drive/2. EVERYONE ELSE'S JUMPS/2. Complete but need image work/L-P Jumps</v>
      </c>
    </row>
    <row r="972">
      <c r="A972" s="12" t="str">
        <f>HYPERLINK("https://drive.google.com/file/d/1T7RaVvE9f5cxXPDYPtuYRJjmTCfAcuME/view?usp=drivesdk","Ox Tales JumpChain.pdf")</f>
        <v>Ox Tales JumpChain.pdf</v>
      </c>
      <c r="B972" s="12" t="str">
        <f t="shared" si="187"/>
        <v>DriveAnon's 4chan Drive/2. EVERYONE ELSE'S JUMPS/2. Complete but need image work/L-P Jumps</v>
      </c>
    </row>
    <row r="973">
      <c r="A973" s="12" t="str">
        <f>HYPERLINK("https://drive.google.com/file/d/1axzY4urZ3dsfH9fJSxk4fbzRgbQf1-cv/view?usp=drivesdk","Nine to Five JumpChain.pdf")</f>
        <v>Nine to Five JumpChain.pdf</v>
      </c>
      <c r="B973" s="12" t="str">
        <f t="shared" si="187"/>
        <v>DriveAnon's 4chan Drive/2. EVERYONE ELSE'S JUMPS/2. Complete but need image work/L-P Jumps</v>
      </c>
    </row>
    <row r="974">
      <c r="A974" s="12" t="str">
        <f>HYPERLINK("https://drive.google.com/file/d/1dSqaQgYMYLCzOdUKQcvT1oXAiPIDtdCR/view?usp=drivesdk","Problem Sleuth Jumpchain.pdf")</f>
        <v>Problem Sleuth Jumpchain.pdf</v>
      </c>
      <c r="B974" s="12" t="str">
        <f t="shared" si="187"/>
        <v>DriveAnon's 4chan Drive/2. EVERYONE ELSE'S JUMPS/2. Complete but need image work/L-P Jumps</v>
      </c>
    </row>
    <row r="975">
      <c r="A975" s="12" t="str">
        <f>HYPERLINK("https://drive.google.com/file/d/1hu5OF_pgnBtY_CL7RdQkFPK9UsQmu_Xj/view?usp=drivesdk","Princess Bride JumpChain.pdf")</f>
        <v>Princess Bride JumpChain.pdf</v>
      </c>
      <c r="B975" s="12" t="str">
        <f t="shared" si="187"/>
        <v>DriveAnon's 4chan Drive/2. EVERYONE ELSE'S JUMPS/2. Complete but need image work/L-P Jumps</v>
      </c>
    </row>
    <row r="976">
      <c r="A976" s="12" t="str">
        <f>HYPERLINK("https://drive.google.com/file/d/1kEZLzEspOqToOiA383rQnzxKPt4WrEif/view?usp=drivesdk","Nichijou Jumpchain.pdf")</f>
        <v>Nichijou Jumpchain.pdf</v>
      </c>
      <c r="B976" s="12" t="str">
        <f t="shared" si="187"/>
        <v>DriveAnon's 4chan Drive/2. EVERYONE ELSE'S JUMPS/2. Complete but need image work/L-P Jumps</v>
      </c>
    </row>
    <row r="977">
      <c r="A977" s="12" t="str">
        <f>HYPERLINK("https://drive.google.com/file/d/1lCdmhY9LiNP-tcojn7WLyQvEJGVsz5Ou/view?usp=drivesdk","NES pack JumpChain.pdf")</f>
        <v>NES pack JumpChain.pdf</v>
      </c>
      <c r="B977" s="12" t="str">
        <f t="shared" si="187"/>
        <v>DriveAnon's 4chan Drive/2. EVERYONE ELSE'S JUMPS/2. Complete but need image work/L-P Jumps</v>
      </c>
    </row>
    <row r="978">
      <c r="A978" s="12" t="str">
        <f>HYPERLINK("https://drive.google.com/file/d/1mgTqRUckDBuAqgOyopb1Li8e_fpsBJ54/view?usp=drivesdk","Origin Spirits of the Past JumpChain.pdf")</f>
        <v>Origin Spirits of the Past JumpChain.pdf</v>
      </c>
      <c r="B978" s="12" t="str">
        <f t="shared" si="187"/>
        <v>DriveAnon's 4chan Drive/2. EVERYONE ELSE'S JUMPS/2. Complete but need image work/L-P Jumps</v>
      </c>
    </row>
    <row r="979">
      <c r="A979" s="12" t="str">
        <f>HYPERLINK("https://drive.google.com/file/d/1qxMcskM0o3fp_5IhUWS1hL_5LVQN2Jc4/view?usp=drivesdk","Protectors of the Plot Continuum JumpChain.pdf")</f>
        <v>Protectors of the Plot Continuum JumpChain.pdf</v>
      </c>
      <c r="B979" s="12" t="str">
        <f t="shared" si="187"/>
        <v>DriveAnon's 4chan Drive/2. EVERYONE ELSE'S JUMPS/2. Complete but need image work/L-P Jumps</v>
      </c>
    </row>
    <row r="980">
      <c r="A980" s="12" t="str">
        <f>HYPERLINK("https://drive.google.com/file/d/1s8Y_d14GWjvgSDdhIf0KHWyPE_wqU1Zs/view?usp=drivesdk","Neopets JumpChain.pdf")</f>
        <v>Neopets JumpChain.pdf</v>
      </c>
      <c r="B980" s="12" t="str">
        <f t="shared" si="187"/>
        <v>DriveAnon's 4chan Drive/2. EVERYONE ELSE'S JUMPS/2. Complete but need image work/L-P Jumps</v>
      </c>
    </row>
    <row r="981">
      <c r="A981" s="12" t="str">
        <f>HYPERLINK("https://drive.google.com/file/d/1toblf0VpTV7LBvw5aU-RQNIh_2aaG0jd/view?usp=drivesdk","Person of Interest JumpChain.pdf")</f>
        <v>Person of Interest JumpChain.pdf</v>
      </c>
      <c r="B981" s="12" t="str">
        <f t="shared" si="187"/>
        <v>DriveAnon's 4chan Drive/2. EVERYONE ELSE'S JUMPS/2. Complete but need image work/L-P Jumps</v>
      </c>
    </row>
    <row r="982">
      <c r="A982" s="12" t="str">
        <f>HYPERLINK("https://drive.google.com/file/d/1w28KxiKr0Oghl6v0frcPxzVPEb81alx9/view?usp=drivesdk","Obsidian Tower Trilogy JumpChain.pdf")</f>
        <v>Obsidian Tower Trilogy JumpChain.pdf</v>
      </c>
      <c r="B982" s="12" t="str">
        <f t="shared" si="187"/>
        <v>DriveAnon's 4chan Drive/2. EVERYONE ELSE'S JUMPS/2. Complete but need image work/L-P Jumps</v>
      </c>
    </row>
    <row r="983">
      <c r="A983" s="12" t="str">
        <f>HYPERLINK("https://drive.google.com/file/d/1xWCXj7WNls3atSwJTg77Tcu_ZuQVeSmF/view?usp=drivesdk","Outlaw Star JumpChain.pdf")</f>
        <v>Outlaw Star JumpChain.pdf</v>
      </c>
      <c r="B983" s="12" t="str">
        <f t="shared" si="187"/>
        <v>DriveAnon's 4chan Drive/2. EVERYONE ELSE'S JUMPS/2. Complete but need image work/L-P Jumps</v>
      </c>
    </row>
    <row r="984">
      <c r="A984" s="12" t="str">
        <f>HYPERLINK("https://drive.google.com/file/d/1zOyqfHTfwVjEUj0cEgLqDXKzk-90RGjl/view?usp=drivesdk","Ogre Battle - The March of the Black Queen JumpChain.pdf")</f>
        <v>Ogre Battle - The March of the Black Queen JumpChain.pdf</v>
      </c>
      <c r="B984" s="12" t="str">
        <f t="shared" si="187"/>
        <v>DriveAnon's 4chan Drive/2. EVERYONE ELSE'S JUMPS/2. Complete but need image work/L-P Jumps</v>
      </c>
    </row>
    <row r="985">
      <c r="A985" s="12" t="str">
        <f>HYPERLINK("https://drive.google.com/file/d/1z_syHF6mW1AcTr5Mley3x3wp90a_qTfg/view?usp=drivesdk","Psychonauts JumpChain.pdf")</f>
        <v>Psychonauts JumpChain.pdf</v>
      </c>
      <c r="B985" s="12" t="str">
        <f t="shared" si="187"/>
        <v>DriveAnon's 4chan Drive/2. EVERYONE ELSE'S JUMPS/2. Complete but need image work/L-P Jumps</v>
      </c>
    </row>
    <row r="986">
      <c r="A986" s="12" t="str">
        <f>HYPERLINK("https://drive.google.com/file/d/1-Uqe_cG2KxGvNtGASPntdrZiWV_6eQZ2/view?usp=drivesdk","Platoon Jump.pdf")</f>
        <v>Platoon Jump.pdf</v>
      </c>
      <c r="B986" s="12" t="str">
        <f t="shared" si="187"/>
        <v>DriveAnon's 4chan Drive/2. EVERYONE ELSE'S JUMPS/2. Complete but need image work/L-P Jumps</v>
      </c>
    </row>
    <row r="987">
      <c r="A987" s="12" t="str">
        <f>HYPERLINK("https://drive.google.com/file/d/1EMpduHMl5BvqN7FeKUq6M4PKypbC1Ydl/view?usp=drivesdk","Project Freelancer JumpChain.pdf")</f>
        <v>Project Freelancer JumpChain.pdf</v>
      </c>
      <c r="B987" s="12" t="str">
        <f t="shared" si="187"/>
        <v>DriveAnon's 4chan Drive/2. EVERYONE ELSE'S JUMPS/2. Complete but need image work/L-P Jumps</v>
      </c>
    </row>
    <row r="988">
      <c r="A988" s="12" t="str">
        <f>HYPERLINK("https://drive.google.com/file/d/1TLC1YYaYIM5XJ27ItZlhgQ-lc5rDHRNo/view?usp=drivesdk","Ouran High School Host Club Jumpchain.pdf")</f>
        <v>Ouran High School Host Club Jumpchain.pdf</v>
      </c>
      <c r="B988" s="12" t="str">
        <f t="shared" si="187"/>
        <v>DriveAnon's 4chan Drive/2. EVERYONE ELSE'S JUMPS/2. Complete but need image work/L-P Jumps</v>
      </c>
    </row>
    <row r="989">
      <c r="A989" s="12" t="str">
        <f>HYPERLINK("https://drive.google.com/file/d/1TeIj6ACh_Wx15A_34YTTIvxoRSzFI1my/view?usp=drivesdk","Okami JumpChain.pdf")</f>
        <v>Okami JumpChain.pdf</v>
      </c>
      <c r="B989" s="12" t="str">
        <f t="shared" si="187"/>
        <v>DriveAnon's 4chan Drive/2. EVERYONE ELSE'S JUMPS/2. Complete but need image work/L-P Jumps</v>
      </c>
    </row>
    <row r="990">
      <c r="A990" s="12" t="str">
        <f>HYPERLINK("https://drive.google.com/file/d/1VnnhTG0xH0CpN0kvXenSyv73P92uJdTH/view?usp=drivesdk","Overlord (Games) JumpChain.pdf")</f>
        <v>Overlord (Games) JumpChain.pdf</v>
      </c>
      <c r="B990" s="12" t="str">
        <f t="shared" si="187"/>
        <v>DriveAnon's 4chan Drive/2. EVERYONE ELSE'S JUMPS/2. Complete but need image work/L-P Jumps</v>
      </c>
    </row>
    <row r="991">
      <c r="A991" s="12" t="str">
        <f>HYPERLINK("https://drive.google.com/file/d/1e0W_HuE9_awaeATO0U8t4xiaYJ-dWeiC/view?usp=drivesdk","Ninjago- Masters of Spinjitzu JumpChain.pdf")</f>
        <v>Ninjago- Masters of Spinjitzu JumpChain.pdf</v>
      </c>
      <c r="B991" s="12" t="str">
        <f t="shared" si="187"/>
        <v>DriveAnon's 4chan Drive/2. EVERYONE ELSE'S JUMPS/2. Complete but need image work/L-P Jumps</v>
      </c>
    </row>
    <row r="992">
      <c r="A992" s="12" t="str">
        <f>HYPERLINK("https://drive.google.com/file/d/1gjvZB_Fq_LyjlMJHskbcEhutAhaoWf5W/view?usp=drivesdk","No More Heroes JumpChain.pdf")</f>
        <v>No More Heroes JumpChain.pdf</v>
      </c>
      <c r="B992" s="12" t="str">
        <f t="shared" si="187"/>
        <v>DriveAnon's 4chan Drive/2. EVERYONE ELSE'S JUMPS/2. Complete but need image work/L-P Jumps</v>
      </c>
    </row>
    <row r="993">
      <c r="A993" s="12" t="str">
        <f>HYPERLINK("https://drive.google.com/file/d/1l99nTxns4PWKcOMobqeyedBQwqRHM0Q7/view?usp=drivesdk","PS238 JumpChain.pdf")</f>
        <v>PS238 JumpChain.pdf</v>
      </c>
      <c r="B993" s="12" t="str">
        <f t="shared" si="187"/>
        <v>DriveAnon's 4chan Drive/2. EVERYONE ELSE'S JUMPS/2. Complete but need image work/L-P Jumps</v>
      </c>
    </row>
    <row r="994">
      <c r="A994" s="12" t="str">
        <f>HYPERLINK("https://drive.google.com/file/d/1nZdVI-E5FChpRDBAv1w5hL96l1plPufq/view?usp=drivesdk","Phantasy Star Online Episode 1_2 Jumpchain.pdf")</f>
        <v>Phantasy Star Online Episode 1_2 Jumpchain.pdf</v>
      </c>
      <c r="B994" s="12" t="str">
        <f t="shared" si="187"/>
        <v>DriveAnon's 4chan Drive/2. EVERYONE ELSE'S JUMPS/2. Complete but need image work/L-P Jumps</v>
      </c>
    </row>
    <row r="995">
      <c r="A995" s="12" t="str">
        <f>HYPERLINK("https://drive.google.com/file/d/1Ah2M_LGvO0doRcF5bnMAxqSChOuAUcDs/view?usp=drivesdk","Pathfinder JumpChain.pdf")</f>
        <v>Pathfinder JumpChain.pdf</v>
      </c>
      <c r="B995" s="12" t="str">
        <f t="shared" si="187"/>
        <v>DriveAnon's 4chan Drive/2. EVERYONE ELSE'S JUMPS/2. Complete but need image work/L-P Jumps</v>
      </c>
    </row>
    <row r="996">
      <c r="A996" s="12" t="str">
        <f>HYPERLINK("https://drive.google.com/file/d/1FUpNHvs_-4xe9P-qKO54N1KwiAjjOWwj/view?usp=drivesdk","Majikoi JumpChain.pdf")</f>
        <v>Majikoi JumpChain.pdf</v>
      </c>
      <c r="B996" s="12" t="str">
        <f t="shared" si="187"/>
        <v>DriveAnon's 4chan Drive/2. EVERYONE ELSE'S JUMPS/2. Complete but need image work/L-P Jumps</v>
      </c>
    </row>
    <row r="997">
      <c r="A997" s="12" t="str">
        <f>HYPERLINK("https://drive.google.com/file/d/1GaWuGoEEbvn2u29sHZY8B9z8jbswqhPg/view?usp=drivesdk","Pepsiman JumpChain.pdf")</f>
        <v>Pepsiman JumpChain.pdf</v>
      </c>
      <c r="B997" s="12" t="str">
        <f t="shared" si="187"/>
        <v>DriveAnon's 4chan Drive/2. EVERYONE ELSE'S JUMPS/2. Complete but need image work/L-P Jumps</v>
      </c>
    </row>
    <row r="998">
      <c r="A998" s="12" t="str">
        <f>HYPERLINK("https://drive.google.com/file/d/1HOiWYcbXTXo5uUobGA2iZSOXVTiydVGJ/view?usp=drivesdk","Project Arms JumpChain.pdf")</f>
        <v>Project Arms JumpChain.pdf</v>
      </c>
      <c r="B998" s="12" t="str">
        <f t="shared" si="187"/>
        <v>DriveAnon's 4chan Drive/2. EVERYONE ELSE'S JUMPS/2. Complete but need image work/L-P Jumps</v>
      </c>
    </row>
    <row r="999">
      <c r="A999" s="12" t="str">
        <f>HYPERLINK("https://drive.google.com/file/d/1JrGxM9bPsWsbRu-mqtDl-sCoSw6_hpET/view?usp=drivesdk","Praise The Orc JumpChain.pdf")</f>
        <v>Praise The Orc JumpChain.pdf</v>
      </c>
      <c r="B999" s="12" t="str">
        <f t="shared" si="187"/>
        <v>DriveAnon's 4chan Drive/2. EVERYONE ELSE'S JUMPS/2. Complete but need image work/L-P Jumps</v>
      </c>
    </row>
    <row r="1000">
      <c r="A1000" s="12" t="str">
        <f>HYPERLINK("https://drive.google.com/file/d/1R1kiz6Bjv67_U9uY0HFaTxGDNv3wl52y/view?usp=drivesdk","Oblivion Movie JumpChain.pdf")</f>
        <v>Oblivion Movie JumpChain.pdf</v>
      </c>
      <c r="B1000" s="12" t="str">
        <f t="shared" si="187"/>
        <v>DriveAnon's 4chan Drive/2. EVERYONE ELSE'S JUMPS/2. Complete but need image work/L-P Jumps</v>
      </c>
    </row>
    <row r="1001">
      <c r="A1001" s="12" t="str">
        <f>HYPERLINK("https://drive.google.com/file/d/1S-YtveagI8JPNisZp0vzH1QvjRJ8Pj8i/view?usp=drivesdk","Powerpuff Girls JumpChain.pdf")</f>
        <v>Powerpuff Girls JumpChain.pdf</v>
      </c>
      <c r="B1001" s="12" t="str">
        <f t="shared" si="187"/>
        <v>DriveAnon's 4chan Drive/2. EVERYONE ELSE'S JUMPS/2. Complete but need image work/L-P Jumps</v>
      </c>
    </row>
    <row r="1002">
      <c r="A1002" s="12" t="str">
        <f>HYPERLINK("https://drive.google.com/file/d/1SQS2krxfMeU4MnDqHpFzwVDXADghnyko/view?usp=drivesdk","Mortal Engines JumpChain.pdf")</f>
        <v>Mortal Engines JumpChain.pdf</v>
      </c>
      <c r="B1002" s="12" t="str">
        <f t="shared" si="187"/>
        <v>DriveAnon's 4chan Drive/2. EVERYONE ELSE'S JUMPS/2. Complete but need image work/L-P Jumps</v>
      </c>
    </row>
    <row r="1003">
      <c r="A1003" s="12" t="str">
        <f>HYPERLINK("https://drive.google.com/file/d/1U-04BPGLKH-1TKI3HxWlGgmbOJDFbJwA/view?usp=drivesdk","Pocky _ Rocky JumpChain.pdf")</f>
        <v>Pocky _ Rocky JumpChain.pdf</v>
      </c>
      <c r="B1003" s="12" t="str">
        <f t="shared" si="187"/>
        <v>DriveAnon's 4chan Drive/2. EVERYONE ELSE'S JUMPS/2. Complete but need image work/L-P Jumps</v>
      </c>
    </row>
    <row r="1004">
      <c r="A1004" s="12" t="str">
        <f>HYPERLINK("https://drive.google.com/file/d/1b_HkF4JZOemPp09rifH7Qchuw3iK3iIM/view?usp=drivesdk","Omamori Himari JumpChain.pdf")</f>
        <v>Omamori Himari JumpChain.pdf</v>
      </c>
      <c r="B1004" s="12" t="str">
        <f t="shared" si="187"/>
        <v>DriveAnon's 4chan Drive/2. EVERYONE ELSE'S JUMPS/2. Complete but need image work/L-P Jumps</v>
      </c>
    </row>
    <row r="1005">
      <c r="A1005" s="12" t="str">
        <f>HYPERLINK("https://drive.google.com/file/d/1oHm7IMcBAa6M8pgMD-oVqw8trOkllZKx/view?usp=drivesdk","Psycho-Pass JumpChain.pdf")</f>
        <v>Psycho-Pass JumpChain.pdf</v>
      </c>
      <c r="B1005" s="12" t="str">
        <f t="shared" si="187"/>
        <v>DriveAnon's 4chan Drive/2. EVERYONE ELSE'S JUMPS/2. Complete but need image work/L-P Jumps</v>
      </c>
    </row>
    <row r="1006">
      <c r="A1006" s="12" t="str">
        <f>HYPERLINK("https://drive.google.com/file/d/1y1FWd_BmVWNcmmHYC3Eol7xV287f0o9e/view?usp=drivesdk","Prison School JumpChain.pdf")</f>
        <v>Prison School JumpChain.pdf</v>
      </c>
      <c r="B1006" s="12" t="str">
        <f t="shared" si="187"/>
        <v>DriveAnon's 4chan Drive/2. EVERYONE ELSE'S JUMPS/2. Complete but need image work/L-P Jumps</v>
      </c>
    </row>
    <row r="1007">
      <c r="A1007" s="12" t="str">
        <f>HYPERLINK("https://drive.google.com/file/d/12FnCw4UKWxdFUedZayBICpUhKvAbVBYB/view?usp=drivesdk","Lord of Light JumpChain.pdf")</f>
        <v>Lord of Light JumpChain.pdf</v>
      </c>
      <c r="B1007" s="12" t="str">
        <f t="shared" si="187"/>
        <v>DriveAnon's 4chan Drive/2. EVERYONE ELSE'S JUMPS/2. Complete but need image work/L-P Jumps</v>
      </c>
    </row>
    <row r="1008">
      <c r="A1008" s="12" t="str">
        <f>HYPERLINK("https://drive.google.com/file/d/1357pwEJD7PHTXrx3u1gizBVOgggC3jCh/view?usp=drivesdk","Log Horizon JumpChain.pdf")</f>
        <v>Log Horizon JumpChain.pdf</v>
      </c>
      <c r="B1008" s="12" t="str">
        <f t="shared" si="187"/>
        <v>DriveAnon's 4chan Drive/2. EVERYONE ELSE'S JUMPS/2. Complete but need image work/L-P Jumps</v>
      </c>
    </row>
    <row r="1009">
      <c r="A1009" s="12" t="str">
        <f>HYPERLINK("https://drive.google.com/file/d/1CibmV84w_6jiV7R70-2G7vfXhtLM2fJ_/view?usp=drivesdk","Lost Odyssey JumpChain.pdf")</f>
        <v>Lost Odyssey JumpChain.pdf</v>
      </c>
      <c r="B1009" s="12" t="str">
        <f t="shared" si="187"/>
        <v>DriveAnon's 4chan Drive/2. EVERYONE ELSE'S JUMPS/2. Complete but need image work/L-P Jumps</v>
      </c>
    </row>
    <row r="1010">
      <c r="A1010" s="12" t="str">
        <f>HYPERLINK("https://drive.google.com/file/d/1JX0G4OXapUDrz559gEWj-RdiMGBaa98i/view?usp=drivesdk","Mana Khemia Alchemists of Al-Revis JumpChain.pdf")</f>
        <v>Mana Khemia Alchemists of Al-Revis JumpChain.pdf</v>
      </c>
      <c r="B1010" s="12" t="str">
        <f t="shared" si="187"/>
        <v>DriveAnon's 4chan Drive/2. EVERYONE ELSE'S JUMPS/2. Complete but need image work/L-P Jumps</v>
      </c>
    </row>
    <row r="1011">
      <c r="A1011" s="12" t="str">
        <f>HYPERLINK("https://drive.google.com/file/d/1QS8CzQunLAxpADp_xQ9gx1xUiOFQPf0a/view?usp=drivesdk","Metal Wolf Chaos JumpChain.pdf")</f>
        <v>Metal Wolf Chaos JumpChain.pdf</v>
      </c>
      <c r="B1011" s="12" t="str">
        <f t="shared" si="187"/>
        <v>DriveAnon's 4chan Drive/2. EVERYONE ELSE'S JUMPS/2. Complete but need image work/L-P Jumps</v>
      </c>
    </row>
    <row r="1012">
      <c r="A1012" s="12" t="str">
        <f>HYPERLINK("https://drive.google.com/file/d/1bD3icoopzW3oETUncS13DjiRca6HQePP/view?usp=drivesdk","Mother - Cognitive Dissonance JumpChain.pdf")</f>
        <v>Mother - Cognitive Dissonance JumpChain.pdf</v>
      </c>
      <c r="B1012" s="12" t="str">
        <f t="shared" si="187"/>
        <v>DriveAnon's 4chan Drive/2. EVERYONE ELSE'S JUMPS/2. Complete but need image work/L-P Jumps</v>
      </c>
    </row>
    <row r="1013">
      <c r="A1013" s="12" t="str">
        <f>HYPERLINK("https://drive.google.com/file/d/1bshxp-0yEm8xSenzYNhQVULPFGgIxvaP/view?usp=drivesdk","Liberal Crime Squad JumpChain.pdf")</f>
        <v>Liberal Crime Squad JumpChain.pdf</v>
      </c>
      <c r="B1013" s="12" t="str">
        <f t="shared" si="187"/>
        <v>DriveAnon's 4chan Drive/2. EVERYONE ELSE'S JUMPS/2. Complete but need image work/L-P Jumps</v>
      </c>
    </row>
    <row r="1014">
      <c r="A1014" s="12" t="str">
        <f>HYPERLINK("https://drive.google.com/file/d/1dbwnfnli4oiJF-yehWUcr2XXCfYOY9s9/view?usp=drivesdk","Mark of the Ninja Jumpchain.pdf")</f>
        <v>Mark of the Ninja Jumpchain.pdf</v>
      </c>
      <c r="B1014" s="12" t="str">
        <f t="shared" si="187"/>
        <v>DriveAnon's 4chan Drive/2. EVERYONE ELSE'S JUMPS/2. Complete but need image work/L-P Jumps</v>
      </c>
    </row>
    <row r="1015">
      <c r="A1015" s="12" t="str">
        <f>HYPERLINK("https://drive.google.com/file/d/1iACcZM92yj5dQ4r4NpDpZjZo3I3JDp3v/view?usp=drivesdk","Luther Strode JumpChain.pdf")</f>
        <v>Luther Strode JumpChain.pdf</v>
      </c>
      <c r="B1015" s="12" t="str">
        <f t="shared" si="187"/>
        <v>DriveAnon's 4chan Drive/2. EVERYONE ELSE'S JUMPS/2. Complete but need image work/L-P Jumps</v>
      </c>
    </row>
    <row r="1016">
      <c r="A1016" s="12" t="str">
        <f>HYPERLINK("https://drive.google.com/file/d/1uyJB8Anuear-5gg7icQ1ko1yOO_As46b/view?usp=drivesdk","Medabots JumpChain.pdf")</f>
        <v>Medabots JumpChain.pdf</v>
      </c>
      <c r="B1016" s="12" t="str">
        <f t="shared" si="187"/>
        <v>DriveAnon's 4chan Drive/2. EVERYONE ELSE'S JUMPS/2. Complete but need image work/L-P Jumps</v>
      </c>
    </row>
    <row r="1017">
      <c r="A1017" s="12" t="str">
        <f>HYPERLINK("https://drive.google.com/file/d/1wzPfJDyll17PVDYwUBdxirBEIsp1cE51/view?usp=drivesdk","Last Exile JumpChain.pdf")</f>
        <v>Last Exile JumpChain.pdf</v>
      </c>
      <c r="B1017" s="12" t="str">
        <f t="shared" si="187"/>
        <v>DriveAnon's 4chan Drive/2. EVERYONE ELSE'S JUMPS/2. Complete but need image work/L-P Jumps</v>
      </c>
    </row>
    <row r="1018">
      <c r="A1018" s="12" t="str">
        <f>HYPERLINK("https://drive.google.com/file/d/11VbwX3QFlPl6lx0p9Mu6DRznSRupp_p6/view?usp=drivesdk","La Pucelle JumpChain.pdf")</f>
        <v>La Pucelle JumpChain.pdf</v>
      </c>
      <c r="B1018" s="12" t="str">
        <f t="shared" si="187"/>
        <v>DriveAnon's 4chan Drive/2. EVERYONE ELSE'S JUMPS/2. Complete but need image work/L-P Jumps</v>
      </c>
    </row>
    <row r="1019">
      <c r="A1019" s="12" t="str">
        <f>HYPERLINK("https://drive.google.com/file/d/11fjY2_jOibiiUBrLIscjRiawJzjKZlNi/view?usp=drivesdk","Mucha Lucha JumpChain.pdf")</f>
        <v>Mucha Lucha JumpChain.pdf</v>
      </c>
      <c r="B1019" s="12" t="str">
        <f t="shared" si="187"/>
        <v>DriveAnon's 4chan Drive/2. EVERYONE ELSE'S JUMPS/2. Complete but need image work/L-P Jumps</v>
      </c>
    </row>
    <row r="1020">
      <c r="A1020" s="12" t="str">
        <f>HYPERLINK("https://drive.google.com/file/d/1PeRr0SXTP19HB_coQVPJKtyHXi6DtITb/view?usp=drivesdk","Legacy of the Aldenata JumpChain.pdf")</f>
        <v>Legacy of the Aldenata JumpChain.pdf</v>
      </c>
      <c r="B1020" s="12" t="str">
        <f t="shared" si="187"/>
        <v>DriveAnon's 4chan Drive/2. EVERYONE ELSE'S JUMPS/2. Complete but need image work/L-P Jumps</v>
      </c>
    </row>
    <row r="1021">
      <c r="A1021" s="12" t="str">
        <f>HYPERLINK("https://drive.google.com/file/d/1UrdBE4ZyYmqY9V6dLoV8nXOioik88rP5/view?usp=drivesdk","Lone Wolf JumpChain.pdf")</f>
        <v>Lone Wolf JumpChain.pdf</v>
      </c>
      <c r="B1021" s="12" t="str">
        <f t="shared" si="187"/>
        <v>DriveAnon's 4chan Drive/2. EVERYONE ELSE'S JUMPS/2. Complete but need image work/L-P Jumps</v>
      </c>
    </row>
    <row r="1022">
      <c r="A1022" s="12" t="str">
        <f>HYPERLINK("https://drive.google.com/file/d/1d_rL2oxBTEj5ZVjkfyDKWT8deJomiLen/view?usp=drivesdk","Mob JumpChain.pdf")</f>
        <v>Mob JumpChain.pdf</v>
      </c>
      <c r="B1022" s="12" t="str">
        <f t="shared" si="187"/>
        <v>DriveAnon's 4chan Drive/2. EVERYONE ELSE'S JUMPS/2. Complete but need image work/L-P Jumps</v>
      </c>
    </row>
    <row r="1023">
      <c r="A1023" s="12" t="str">
        <f>HYPERLINK("https://drive.google.com/file/d/1f0Gm7q4oR6-bz8tyFV8viF15b0eIEfhL/view?usp=drivesdk","Maoyuu Hero  Demon King JumpChain.pdf")</f>
        <v>Maoyuu Hero  Demon King JumpChain.pdf</v>
      </c>
      <c r="B1023" s="12" t="str">
        <f t="shared" si="187"/>
        <v>DriveAnon's 4chan Drive/2. EVERYONE ELSE'S JUMPS/2. Complete but need image work/L-P Jumps</v>
      </c>
    </row>
    <row r="1024">
      <c r="A1024" s="12" t="str">
        <f>HYPERLINK("https://drive.google.com/file/d/1hfMHIJEEBtTcAbdCRjsHWoWeldCr4bel/view?usp=drivesdk","LibriomancerJumpchain.pdf")</f>
        <v>LibriomancerJumpchain.pdf</v>
      </c>
      <c r="B1024" s="12" t="str">
        <f t="shared" si="187"/>
        <v>DriveAnon's 4chan Drive/2. EVERYONE ELSE'S JUMPS/2. Complete but need image work/L-P Jumps</v>
      </c>
    </row>
    <row r="1025">
      <c r="A1025" s="12" t="str">
        <f>HYPERLINK("https://drive.google.com/file/d/1i7GyMYprCMnUuaNln3JwDyDkoUG4deyT/view?usp=drivesdk","Law of Ueki JumpChain.pdf")</f>
        <v>Law of Ueki JumpChain.pdf</v>
      </c>
      <c r="B1025" s="12" t="str">
        <f t="shared" si="187"/>
        <v>DriveAnon's 4chan Drive/2. EVERYONE ELSE'S JUMPS/2. Complete but need image work/L-P Jumps</v>
      </c>
    </row>
    <row r="1026">
      <c r="A1026" s="12" t="str">
        <f>HYPERLINK("https://drive.google.com/file/d/1mo-_safoGOlp423g4fnm_fk5WNfFtsgt/view?usp=drivesdk","Masters of Red JumpChain.pdf")</f>
        <v>Masters of Red JumpChain.pdf</v>
      </c>
      <c r="B1026" s="12" t="str">
        <f t="shared" si="187"/>
        <v>DriveAnon's 4chan Drive/2. EVERYONE ELSE'S JUMPS/2. Complete but need image work/L-P Jumps</v>
      </c>
    </row>
    <row r="1027">
      <c r="A1027" s="12" t="str">
        <f>HYPERLINK("https://drive.google.com/file/d/1vq2CNFFGsxtli5kODOCvaeGlG6rG4nHX/view?usp=drivesdk","Lost Planet JumpChain.pdf")</f>
        <v>Lost Planet JumpChain.pdf</v>
      </c>
      <c r="B1027" s="12" t="str">
        <f t="shared" si="187"/>
        <v>DriveAnon's 4chan Drive/2. EVERYONE ELSE'S JUMPS/2. Complete but need image work/L-P Jumps</v>
      </c>
    </row>
    <row r="1028">
      <c r="A1028" s="12" t="str">
        <f>HYPERLINK("https://drive.google.com/file/d/1zT2HbpUMDYRMv8i4UX6iduofDgM9c0tA/view?usp=drivesdk","Merlin (BBC) JumpChain.pdf")</f>
        <v>Merlin (BBC) JumpChain.pdf</v>
      </c>
      <c r="B1028" s="12" t="str">
        <f t="shared" si="187"/>
        <v>DriveAnon's 4chan Drive/2. EVERYONE ELSE'S JUMPS/2. Complete but need image work/L-P Jumps</v>
      </c>
    </row>
    <row r="1029">
      <c r="A1029" s="12" t="str">
        <f>HYPERLINK("https://drive.google.com/file/d/19jaenVfHJsS3E287yLt_jzz6vPP85pz5/view?usp=drivesdk","Mob Psycho 100 JumpChain.pdf")</f>
        <v>Mob Psycho 100 JumpChain.pdf</v>
      </c>
      <c r="B1029" s="12" t="str">
        <f t="shared" si="187"/>
        <v>DriveAnon's 4chan Drive/2. EVERYONE ELSE'S JUMPS/2. Complete but need image work/L-P Jumps</v>
      </c>
    </row>
    <row r="1030">
      <c r="A1030" s="12" t="str">
        <f>HYPERLINK("https://drive.google.com/file/d/1DfEhbVUfDhslhBomgLLkVMZimjdaA_9k/view?usp=drivesdk","Legend of Mana JumpChain.pdf")</f>
        <v>Legend of Mana JumpChain.pdf</v>
      </c>
      <c r="B1030" s="12" t="str">
        <f t="shared" si="187"/>
        <v>DriveAnon's 4chan Drive/2. EVERYONE ELSE'S JUMPS/2. Complete but need image work/L-P Jumps</v>
      </c>
    </row>
    <row r="1031">
      <c r="A1031" s="12" t="str">
        <f>HYPERLINK("https://drive.google.com/file/d/1L-1seLWzkNIlE1Z9vrr0_t_3tWdHQCkD/view?usp=drivesdk","Left 4 Dead JumpChain.pdf")</f>
        <v>Left 4 Dead JumpChain.pdf</v>
      </c>
      <c r="B1031" s="12" t="str">
        <f t="shared" si="187"/>
        <v>DriveAnon's 4chan Drive/2. EVERYONE ELSE'S JUMPS/2. Complete but need image work/L-P Jumps</v>
      </c>
    </row>
    <row r="1032">
      <c r="A1032" s="12" t="str">
        <f>HYPERLINK("https://drive.google.com/file/d/1PChLSw_Vhx8f8Pp5Lp-8NKNsRMW83rMG/view?usp=drivesdk","Minecraft JumpChain.pdf")</f>
        <v>Minecraft JumpChain.pdf</v>
      </c>
      <c r="B1032" s="12" t="str">
        <f t="shared" si="187"/>
        <v>DriveAnon's 4chan Drive/2. EVERYONE ELSE'S JUMPS/2. Complete but need image work/L-P Jumps</v>
      </c>
    </row>
    <row r="1033">
      <c r="A1033" s="12" t="str">
        <f>HYPERLINK("https://drive.google.com/file/d/1VyTHHbYq1WR12qTApqw9bIJtLtXDjzOq/view?usp=drivesdk","METALOCALYPSE JumpChain.pdf")</f>
        <v>METALOCALYPSE JumpChain.pdf</v>
      </c>
      <c r="B1033" s="12" t="str">
        <f t="shared" si="187"/>
        <v>DriveAnon's 4chan Drive/2. EVERYONE ELSE'S JUMPS/2. Complete but need image work/L-P Jumps</v>
      </c>
    </row>
    <row r="1034">
      <c r="A1034" s="12" t="str">
        <f>HYPERLINK("https://drive.google.com/file/d/1zTfLNgIwHYMgRTrt3j5Z2uxfWA2D4Pi6/view?usp=drivesdk","Metalocalypse Jump Chain.pdf")</f>
        <v>Metalocalypse Jump Chain.pdf</v>
      </c>
      <c r="B1034" s="12" t="str">
        <f t="shared" si="187"/>
        <v>DriveAnon's 4chan Drive/2. EVERYONE ELSE'S JUMPS/2. Complete but need image work/L-P Jumps</v>
      </c>
    </row>
    <row r="1035">
      <c r="A1035" s="12" t="str">
        <f>HYPERLINK("https://drive.google.com/file/d/1zyIAthNln_sE5SmwAoyeSHKWf2oWxT0O/view?usp=drivesdk","Lego JumpChain.pdf")</f>
        <v>Lego JumpChain.pdf</v>
      </c>
      <c r="B1035" s="12" t="str">
        <f t="shared" si="187"/>
        <v>DriveAnon's 4chan Drive/2. EVERYONE ELSE'S JUMPS/2. Complete but need image work/L-P Jumps</v>
      </c>
    </row>
    <row r="1036">
      <c r="A1036" s="12" t="str">
        <f>HYPERLINK("https://drive.google.com/file/d/13MO0S9U__2Qgeh4A_K9AP8ueViWLHLl-/view?usp=drivesdk","LES MISERABLES JumpChain.pdf")</f>
        <v>LES MISERABLES JumpChain.pdf</v>
      </c>
      <c r="B1036" s="12" t="str">
        <f t="shared" si="187"/>
        <v>DriveAnon's 4chan Drive/2. EVERYONE ELSE'S JUMPS/2. Complete but need image work/L-P Jumps</v>
      </c>
    </row>
    <row r="1037">
      <c r="A1037" s="12" t="str">
        <f>HYPERLINK("https://drive.google.com/file/d/1ISxbgu_4ltGIQwH65SMjBumoOT7opnbR/view?usp=drivesdk","Mistborn JumpChain.pdf")</f>
        <v>Mistborn JumpChain.pdf</v>
      </c>
      <c r="B1037" s="12" t="str">
        <f t="shared" si="187"/>
        <v>DriveAnon's 4chan Drive/2. EVERYONE ELSE'S JUMPS/2. Complete but need image work/L-P Jumps</v>
      </c>
    </row>
    <row r="1038">
      <c r="A1038" s="12" t="str">
        <f>HYPERLINK("https://drive.google.com/file/d/1Tuk8zPMJeJ9Ru96IrqmFjnZGtcQJRJjK/view?usp=drivesdk","Musician Jumpchain.pdf")</f>
        <v>Musician Jumpchain.pdf</v>
      </c>
      <c r="B1038" s="12" t="str">
        <f t="shared" si="187"/>
        <v>DriveAnon's 4chan Drive/2. EVERYONE ELSE'S JUMPS/2. Complete but need image work/L-P Jumps</v>
      </c>
    </row>
    <row r="1039">
      <c r="A1039" s="12" t="str">
        <f>HYPERLINK("https://drive.google.com/file/d/1Wth8hWBhnhb-3NL0J3UEZckcsWBHOcb_/view?usp=drivesdk","LEGO- Legends of Chima JumpChain.pdf")</f>
        <v>LEGO- Legends of Chima JumpChain.pdf</v>
      </c>
      <c r="B1039" s="12" t="str">
        <f t="shared" si="187"/>
        <v>DriveAnon's 4chan Drive/2. EVERYONE ELSE'S JUMPS/2. Complete but need image work/L-P Jumps</v>
      </c>
    </row>
    <row r="1040">
      <c r="A1040" s="12" t="str">
        <f>HYPERLINK("https://drive.google.com/file/d/1Z4X_PMtubusFlkzuz9Akh1jFmmDR8NK6/view?usp=drivesdk","Macross JumpChain.pdf")</f>
        <v>Macross JumpChain.pdf</v>
      </c>
      <c r="B1040" s="12" t="str">
        <f t="shared" si="187"/>
        <v>DriveAnon's 4chan Drive/2. EVERYONE ELSE'S JUMPS/2. Complete but need image work/L-P Jumps</v>
      </c>
    </row>
    <row r="1041">
      <c r="A1041" s="12" t="str">
        <f>HYPERLINK("https://drive.google.com/file/d/1gy6KKZs3QzqjRuR8ASLUYOrv-iROnI5e/view?usp=drivesdk","Modern Action movie JumpChain.pdf")</f>
        <v>Modern Action movie JumpChain.pdf</v>
      </c>
      <c r="B1041" s="12" t="str">
        <f t="shared" si="187"/>
        <v>DriveAnon's 4chan Drive/2. EVERYONE ELSE'S JUMPS/2. Complete but need image work/L-P Jumps</v>
      </c>
    </row>
    <row r="1042">
      <c r="A1042" s="12" t="str">
        <f>HYPERLINK("https://drive.google.com/file/d/1tILaaxDDuSXKGsj7aa0v9O0LQMh8poqL/view?usp=drivesdk","Mystery Science Theater 3000 Jumpchain.pdf")</f>
        <v>Mystery Science Theater 3000 Jumpchain.pdf</v>
      </c>
      <c r="B1042" s="12" t="str">
        <f t="shared" si="187"/>
        <v>DriveAnon's 4chan Drive/2. EVERYONE ELSE'S JUMPS/2. Complete but need image work/L-P Jumps</v>
      </c>
    </row>
    <row r="1043">
      <c r="A1043" s="12" t="str">
        <f>HYPERLINK("https://drive.google.com/file/d/1FeF-1MhzGBRDX190NJMEIQeUKiLHppZy/view?usp=drivesdk","Limbo JumpChain.pdf")</f>
        <v>Limbo JumpChain.pdf</v>
      </c>
      <c r="B1043" s="12" t="str">
        <f t="shared" si="187"/>
        <v>DriveAnon's 4chan Drive/2. EVERYONE ELSE'S JUMPS/2. Complete but need image work/L-P Jumps</v>
      </c>
    </row>
    <row r="1044">
      <c r="A1044" s="12" t="str">
        <f>HYPERLINK("https://drive.google.com/file/d/1LDUXrWiMaWynHqEmBLgMacfoNqBVirih/view?usp=drivesdk","Mars of Destruction JumpChain.pdf")</f>
        <v>Mars of Destruction JumpChain.pdf</v>
      </c>
      <c r="B1044" s="12" t="str">
        <f t="shared" si="187"/>
        <v>DriveAnon's 4chan Drive/2. EVERYONE ELSE'S JUMPS/2. Complete but need image work/L-P Jumps</v>
      </c>
    </row>
    <row r="1045">
      <c r="A1045" s="12" t="str">
        <f>HYPERLINK("https://drive.google.com/file/d/1NB9EDdJ9RUYCCxI_PKgEaQZPVXv5T_Ru/view?usp=drivesdk","Meddlesome Kitsune Senko-san JumpChain.pdf")</f>
        <v>Meddlesome Kitsune Senko-san JumpChain.pdf</v>
      </c>
      <c r="B1045" s="12" t="str">
        <f t="shared" si="187"/>
        <v>DriveAnon's 4chan Drive/2. EVERYONE ELSE'S JUMPS/2. Complete but need image work/L-P Jumps</v>
      </c>
    </row>
    <row r="1046">
      <c r="A1046" s="12" t="str">
        <f>HYPERLINK("https://drive.google.com/file/d/1XrD-yX7qvxn0sYg7_hE0urPJEsYZZBBN/view?usp=drivesdk","Mushi-Shi JumpChain.pdf")</f>
        <v>Mushi-Shi JumpChain.pdf</v>
      </c>
      <c r="B1046" s="12" t="str">
        <f t="shared" si="187"/>
        <v>DriveAnon's 4chan Drive/2. EVERYONE ELSE'S JUMPS/2. Complete but need image work/L-P Jumps</v>
      </c>
    </row>
    <row r="1047">
      <c r="A1047" s="12" t="str">
        <f>HYPERLINK("https://drive.google.com/file/d/1_QgdbzwSMMsbtL6vFn8dr2dwfnm0w8kG/view?usp=drivesdk","Miss Kobayashi_s Dragon Maid JumpChain.pdf")</f>
        <v>Miss Kobayashi_s Dragon Maid JumpChain.pdf</v>
      </c>
      <c r="B1047" s="12" t="str">
        <f t="shared" si="187"/>
        <v>DriveAnon's 4chan Drive/2. EVERYONE ELSE'S JUMPS/2. Complete but need image work/L-P Jumps</v>
      </c>
    </row>
    <row r="1048">
      <c r="A1048" s="12" t="str">
        <f>HYPERLINK("https://drive.google.com/file/d/1c4cZqCcZM0tuF4cFxGIG7476lX-rYJxw/view?usp=drivesdk","Monogatari JumpChain.pdf")</f>
        <v>Monogatari JumpChain.pdf</v>
      </c>
      <c r="B1048" s="12" t="str">
        <f t="shared" si="187"/>
        <v>DriveAnon's 4chan Drive/2. EVERYONE ELSE'S JUMPS/2. Complete but need image work/L-P Jumps</v>
      </c>
    </row>
    <row r="1049">
      <c r="A1049" s="12" t="str">
        <f>HYPERLINK("https://drive.google.com/file/d/126IO4AZ3hdW5LJlIF7wRbCH4mOefI6sM/view?usp=drivesdk","Maou na Ore to Fushihime no Yubiwa JumpChain.pdf")</f>
        <v>Maou na Ore to Fushihime no Yubiwa JumpChain.pdf</v>
      </c>
      <c r="B1049" s="12" t="str">
        <f t="shared" si="187"/>
        <v>DriveAnon's 4chan Drive/2. EVERYONE ELSE'S JUMPS/2. Complete but need image work/L-P Jumps</v>
      </c>
    </row>
    <row r="1050">
      <c r="A1050" s="12" t="str">
        <f>HYPERLINK("https://drive.google.com/file/d/12pMDs5dOBQG-p4OHqEprsziyNRc1ODZ8/view?usp=drivesdk","Lazy Dungeon Master JumpChain.pdf")</f>
        <v>Lazy Dungeon Master JumpChain.pdf</v>
      </c>
      <c r="B1050" s="12" t="str">
        <f t="shared" si="187"/>
        <v>DriveAnon's 4chan Drive/2. EVERYONE ELSE'S JUMPS/2. Complete but need image work/L-P Jumps</v>
      </c>
    </row>
    <row r="1051">
      <c r="A1051" s="12" t="str">
        <f>HYPERLINK("https://drive.google.com/file/d/18M8AIJVvdVISku_kGY_lM-7-dfC9dQg2/view?usp=drivesdk","My Hero Academia JumpChain.pdf")</f>
        <v>My Hero Academia JumpChain.pdf</v>
      </c>
      <c r="B1051" s="12" t="str">
        <f t="shared" si="187"/>
        <v>DriveAnon's 4chan Drive/2. EVERYONE ELSE'S JUMPS/2. Complete but need image work/L-P Jumps</v>
      </c>
    </row>
    <row r="1052">
      <c r="A1052" s="12" t="str">
        <f>HYPERLINK("https://drive.google.com/file/d/1AlgIK0Zr6z1fgd4wAas-Vv-x_LVTztQa/view?usp=drivesdk","Mondaiji-tachi ga Isekai kara Kuru Sou Desu yo JumpChain.pdf")</f>
        <v>Mondaiji-tachi ga Isekai kara Kuru Sou Desu yo JumpChain.pdf</v>
      </c>
      <c r="B1052" s="12" t="str">
        <f t="shared" si="187"/>
        <v>DriveAnon's 4chan Drive/2. EVERYONE ELSE'S JUMPS/2. Complete but need image work/L-P Jumps</v>
      </c>
    </row>
    <row r="1053">
      <c r="A1053" s="12" t="str">
        <f>HYPERLINK("https://drive.google.com/file/d/1RpESajYxw7K4RdMN4zfTv_EFw_r3iTcy/view?usp=drivesdk","Light Bringer JumpChain.pdf")</f>
        <v>Light Bringer JumpChain.pdf</v>
      </c>
      <c r="B1053" s="12" t="str">
        <f t="shared" si="187"/>
        <v>DriveAnon's 4chan Drive/2. EVERYONE ELSE'S JUMPS/2. Complete but need image work/L-P Jumps</v>
      </c>
    </row>
    <row r="1054">
      <c r="A1054" s="12" t="str">
        <f>HYPERLINK("https://drive.google.com/file/d/1lfRmGGsWm5jPUW3Bk7joDJ2Mm2HoxyNJ/view?usp=drivesdk","Magnus Archives JumpChain.pdf")</f>
        <v>Magnus Archives JumpChain.pdf</v>
      </c>
      <c r="B1054" s="12" t="str">
        <f t="shared" si="187"/>
        <v>DriveAnon's 4chan Drive/2. EVERYONE ELSE'S JUMPS/2. Complete but need image work/L-P Jumps</v>
      </c>
    </row>
    <row r="1055">
      <c r="A1055" s="12" t="str">
        <f>HYPERLINK("https://drive.google.com/file/d/1OX1TXKTyOekfahQs4z-eQPmCOY7RGkLc/view?usp=drivesdk","Prince of Persia v1.2.pdf")</f>
        <v>Prince of Persia v1.2.pdf</v>
      </c>
      <c r="B1055" s="12" t="str">
        <f t="shared" si="187"/>
        <v>DriveAnon's 4chan Drive/2. EVERYONE ELSE'S JUMPS/2. Complete but need image work/L-P Jumps</v>
      </c>
    </row>
    <row r="1056">
      <c r="A1056" s="12" t="str">
        <f>HYPERLINK("https://drive.google.com/file/d/18XUR2G_HblrxGSS8lscT8s-mIPI4QTRn/view?usp=drivesdk","My Condolences, Ninomiya-Kun!.pdf")</f>
        <v>My Condolences, Ninomiya-Kun!.pdf</v>
      </c>
      <c r="B1056" s="12" t="str">
        <f t="shared" si="187"/>
        <v>DriveAnon's 4chan Drive/2. EVERYONE ELSE'S JUMPS/2. Complete but need image work/L-P Jumps</v>
      </c>
    </row>
    <row r="1057">
      <c r="A1057" s="12" t="str">
        <f>HYPERLINK("https://drive.google.com/file/d/1Wjs1Gl5hNG2ZkL8x8uB21GnmvzMi8HJ_/view?usp=drivesdk","Promare.pdf")</f>
        <v>Promare.pdf</v>
      </c>
      <c r="B1057" s="12" t="str">
        <f t="shared" si="187"/>
        <v>DriveAnon's 4chan Drive/2. EVERYONE ELSE'S JUMPS/2. Complete but need image work/L-P Jumps</v>
      </c>
    </row>
    <row r="1058">
      <c r="A1058" s="12" t="str">
        <f>HYPERLINK("https://drive.google.com/file/d/1n4SofqsNzGtg1M8hxaY6oEh8M4a8jyja/view?usp=drivesdk","Murasakiiro no Qualia.pdf")</f>
        <v>Murasakiiro no Qualia.pdf</v>
      </c>
      <c r="B1058" s="12" t="str">
        <f t="shared" si="187"/>
        <v>DriveAnon's 4chan Drive/2. EVERYONE ELSE'S JUMPS/2. Complete but need image work/L-P Jumps</v>
      </c>
    </row>
    <row r="1059">
      <c r="A1059" s="12" t="str">
        <f>HYPERLINK("https://drive.google.com/file/d/1xhlG5EUep34xGK76A9HU8NH0LJMQLPa9/view?usp=drivesdk","Otome Game no Hametsu Flag shika nai Akuyaku Reijou ni Tensei shite shimatta...pdf")</f>
        <v>Otome Game no Hametsu Flag shika nai Akuyaku Reijou ni Tensei shite shimatta...pdf</v>
      </c>
      <c r="B1059" s="12" t="str">
        <f t="shared" si="187"/>
        <v>DriveAnon's 4chan Drive/2. EVERYONE ELSE'S JUMPS/2. Complete but need image work/L-P Jumps</v>
      </c>
    </row>
    <row r="1060">
      <c r="A1060" s="12" t="str">
        <f>HYPERLINK("https://drive.google.com/file/d/1Knnk-avxFmDd1fuq2OYuFna7oMQBxW1S/view?usp=drivesdk","Masters Of The Universe Jump. .pdf")</f>
        <v>Masters Of The Universe Jump. .pdf</v>
      </c>
      <c r="B1060" s="12" t="str">
        <f t="shared" si="187"/>
        <v>DriveAnon's 4chan Drive/2. EVERYONE ELSE'S JUMPS/2. Complete but need image work/L-P Jumps</v>
      </c>
    </row>
    <row r="1061">
      <c r="A1061" s="12" t="str">
        <f>HYPERLINK("https://drive.google.com/file/d/1U-8z-AMn1nWBULdpdIphWVqANo7KfWyl/view?usp=drivesdk","Project Wingman.pdf")</f>
        <v>Project Wingman.pdf</v>
      </c>
      <c r="B1061" s="12" t="str">
        <f t="shared" si="187"/>
        <v>DriveAnon's 4chan Drive/2. EVERYONE ELSE'S JUMPS/2. Complete but need image work/L-P Jumps</v>
      </c>
    </row>
    <row r="1062">
      <c r="A1062" s="12" t="str">
        <f>HYPERLINK("https://drive.google.com/file/d/1n415Pbxu7NEiB4TLFzeT4GqSZc6ZjJQ0/view?usp=drivesdk","We Were Here.pdf")</f>
        <v>We Were Here.pdf</v>
      </c>
      <c r="B1062" s="12" t="str">
        <f t="shared" ref="B1062:B1107" si="188">HYPERLINK("https://drive.google.com/drive/folders/1g9Z-Yp1-Y3duGpPfcO2aUVXBUPutjgur","DriveAnon's 4chan Drive/2. EVERYONE ELSE'S JUMPS/2. Complete but need image work/W-Z")</f>
        <v>DriveAnon's 4chan Drive/2. EVERYONE ELSE'S JUMPS/2. Complete but need image work/W-Z</v>
      </c>
    </row>
    <row r="1063">
      <c r="A1063" s="12" t="str">
        <f>HYPERLINK("https://drive.google.com/file/d/1fXznRFeVnfq1w_osEt-fFdz9By601OiA/view?usp=drivesdk","Warriors of Orochi.pdf")</f>
        <v>Warriors of Orochi.pdf</v>
      </c>
      <c r="B1063" s="12" t="str">
        <f t="shared" si="188"/>
        <v>DriveAnon's 4chan Drive/2. EVERYONE ELSE'S JUMPS/2. Complete but need image work/W-Z</v>
      </c>
    </row>
    <row r="1064">
      <c r="A1064" s="12" t="str">
        <f>HYPERLINK("https://drive.google.com/file/d/1K-gaT1S-J9ihyc4QsNxsbgPQA1wvWRIk/view?usp=drivesdk","Zoids Legacy.pdf")</f>
        <v>Zoids Legacy.pdf</v>
      </c>
      <c r="B1064" s="12" t="str">
        <f t="shared" si="188"/>
        <v>DriveAnon's 4chan Drive/2. EVERYONE ELSE'S JUMPS/2. Complete but need image work/W-Z</v>
      </c>
    </row>
    <row r="1065">
      <c r="A1065" s="12" t="str">
        <f>HYPERLINK("https://drive.google.com/file/d/11lNW-NN1pEMRKmRC2-IVw_4UyvQwMlly/view?usp=drivesdk","Xam_d Lost Memories JumpChain.pdf")</f>
        <v>Xam_d Lost Memories JumpChain.pdf</v>
      </c>
      <c r="B1065" s="12" t="str">
        <f t="shared" si="188"/>
        <v>DriveAnon's 4chan Drive/2. EVERYONE ELSE'S JUMPS/2. Complete but need image work/W-Z</v>
      </c>
    </row>
    <row r="1066">
      <c r="A1066" s="12" t="str">
        <f>HYPERLINK("https://drive.google.com/file/d/18XxjcCtODXDJGcj-ZksPleSN8Mfx47QE/view?usp=drivesdk","WWE JumpChain.pdf")</f>
        <v>WWE JumpChain.pdf</v>
      </c>
      <c r="B1066" s="12" t="str">
        <f t="shared" si="188"/>
        <v>DriveAnon's 4chan Drive/2. EVERYONE ELSE'S JUMPS/2. Complete but need image work/W-Z</v>
      </c>
    </row>
    <row r="1067">
      <c r="A1067" s="12" t="str">
        <f>HYPERLINK("https://drive.google.com/file/d/18hkzLeEyTrYSyqDbIkgUHGf4X3sIgDSF/view?usp=drivesdk","Witchblade (Anime) JumpChain.pdf")</f>
        <v>Witchblade (Anime) JumpChain.pdf</v>
      </c>
      <c r="B1067" s="12" t="str">
        <f t="shared" si="188"/>
        <v>DriveAnon's 4chan Drive/2. EVERYONE ELSE'S JUMPS/2. Complete but need image work/W-Z</v>
      </c>
    </row>
    <row r="1068">
      <c r="A1068" s="12" t="str">
        <f>HYPERLINK("https://drive.google.com/file/d/19ysFyUBjFF73Ch8PzE4g5gemyKOTwJOE/view?usp=drivesdk","Watch_Dogs 2 JumpChain.pdf")</f>
        <v>Watch_Dogs 2 JumpChain.pdf</v>
      </c>
      <c r="B1068" s="12" t="str">
        <f t="shared" si="188"/>
        <v>DriveAnon's 4chan Drive/2. EVERYONE ELSE'S JUMPS/2. Complete but need image work/W-Z</v>
      </c>
    </row>
    <row r="1069">
      <c r="A1069" s="12" t="str">
        <f>HYPERLINK("https://drive.google.com/file/d/1LzUOBwlKFFF8erS5ylVD_C5oWDIptVvt/view?usp=drivesdk","Yūsha Gojo Kumiai Kōryūgata Keijiban JumpChain.pdf")</f>
        <v>Yūsha Gojo Kumiai Kōryūgata Keijiban JumpChain.pdf</v>
      </c>
      <c r="B1069" s="12" t="str">
        <f t="shared" si="188"/>
        <v>DriveAnon's 4chan Drive/2. EVERYONE ELSE'S JUMPS/2. Complete but need image work/W-Z</v>
      </c>
    </row>
    <row r="1070">
      <c r="A1070" s="12" t="str">
        <f>HYPERLINK("https://drive.google.com/file/d/1NK5CKwMPQp5dpSJ7VkysPtKovpmlNU2z/view?usp=drivesdk","World of Cultivation JumpChain.pdf")</f>
        <v>World of Cultivation JumpChain.pdf</v>
      </c>
      <c r="B1070" s="12" t="str">
        <f t="shared" si="188"/>
        <v>DriveAnon's 4chan Drive/2. EVERYONE ELSE'S JUMPS/2. Complete but need image work/W-Z</v>
      </c>
    </row>
    <row r="1071">
      <c r="A1071" s="12" t="str">
        <f>HYPERLINK("https://drive.google.com/file/d/1N_xhCK-W_gSmayrqqDbGwhGqBVseiBVv/view?usp=drivesdk","What We Do in the Shadows JumpChain.pdf")</f>
        <v>What We Do in the Shadows JumpChain.pdf</v>
      </c>
      <c r="B1071" s="12" t="str">
        <f t="shared" si="188"/>
        <v>DriveAnon's 4chan Drive/2. EVERYONE ELSE'S JUMPS/2. Complete but need image work/W-Z</v>
      </c>
    </row>
    <row r="1072">
      <c r="A1072" s="12" t="str">
        <f>HYPERLINK("https://drive.google.com/file/d/1Vhl3iVqvVrBpzDksmP8TxZpRVHITUOJe/view?usp=drivesdk","Wolfenstein The New Order JumpChain.pdf")</f>
        <v>Wolfenstein The New Order JumpChain.pdf</v>
      </c>
      <c r="B1072" s="12" t="str">
        <f t="shared" si="188"/>
        <v>DriveAnon's 4chan Drive/2. EVERYONE ELSE'S JUMPS/2. Complete but need image work/W-Z</v>
      </c>
    </row>
    <row r="1073">
      <c r="A1073" s="12" t="str">
        <f>HYPERLINK("https://drive.google.com/file/d/1ZKV45w3RF5_tqws_UF2wxyr01-4VhvLR/view?usp=drivesdk","Worm JumpChain.pdf")</f>
        <v>Worm JumpChain.pdf</v>
      </c>
      <c r="B1073" s="12" t="str">
        <f t="shared" si="188"/>
        <v>DriveAnon's 4chan Drive/2. EVERYONE ELSE'S JUMPS/2. Complete but need image work/W-Z</v>
      </c>
    </row>
    <row r="1074">
      <c r="A1074" s="12" t="str">
        <f>HYPERLINK("https://drive.google.com/file/d/1aohzKg7lcW1maUTCqHZisI9ZVn4aUT1k/view?usp=drivesdk","Webmage JumpChain.pdf")</f>
        <v>Webmage JumpChain.pdf</v>
      </c>
      <c r="B1074" s="12" t="str">
        <f t="shared" si="188"/>
        <v>DriveAnon's 4chan Drive/2. EVERYONE ELSE'S JUMPS/2. Complete but need image work/W-Z</v>
      </c>
    </row>
    <row r="1075">
      <c r="A1075" s="12" t="str">
        <f>HYPERLINK("https://drive.google.com/file/d/1ePOI0DDz3ZFs3jONkJXQDZW48EBbFdbB/view?usp=drivesdk","Warcraft 3 JumpChain.pdf")</f>
        <v>Warcraft 3 JumpChain.pdf</v>
      </c>
      <c r="B1075" s="12" t="str">
        <f t="shared" si="188"/>
        <v>DriveAnon's 4chan Drive/2. EVERYONE ELSE'S JUMPS/2. Complete but need image work/W-Z</v>
      </c>
    </row>
    <row r="1076">
      <c r="A1076" s="12" t="str">
        <f>HYPERLINK("https://drive.google.com/file/d/1umzvBufCjnM7x3jKLxo1D-55svNlBuS5/view?usp=drivesdk","Xiaolin Showdown Jumpchain.pdf")</f>
        <v>Xiaolin Showdown Jumpchain.pdf</v>
      </c>
      <c r="B1076" s="12" t="str">
        <f t="shared" si="188"/>
        <v>DriveAnon's 4chan Drive/2. EVERYONE ELSE'S JUMPS/2. Complete but need image work/W-Z</v>
      </c>
    </row>
    <row r="1077">
      <c r="A1077" s="12" t="str">
        <f>HYPERLINK("https://drive.google.com/file/d/1xvwME0cfsDzt2LAhwltvQ-mmgUa-JKE2/view?usp=drivesdk","World Trigger JumpChain.pdf")</f>
        <v>World Trigger JumpChain.pdf</v>
      </c>
      <c r="B1077" s="12" t="str">
        <f t="shared" si="188"/>
        <v>DriveAnon's 4chan Drive/2. EVERYONE ELSE'S JUMPS/2. Complete but need image work/W-Z</v>
      </c>
    </row>
    <row r="1078">
      <c r="A1078" s="12" t="str">
        <f>HYPERLINK("https://drive.google.com/file/d/11nvsJZfCsb5SUtI5qNFeX7LXDY0mEGfq/view?usp=drivesdk","WeirdWildWest JumpChain.pdf")</f>
        <v>WeirdWildWest JumpChain.pdf</v>
      </c>
      <c r="B1078" s="12" t="str">
        <f t="shared" si="188"/>
        <v>DriveAnon's 4chan Drive/2. EVERYONE ELSE'S JUMPS/2. Complete but need image work/W-Z</v>
      </c>
    </row>
    <row r="1079">
      <c r="A1079" s="12" t="str">
        <f>HYPERLINK("https://drive.google.com/file/d/1AA6kuurHv-bpnf6noogJUDSR37KBLJTf/view?usp=drivesdk","Xena - Hercules - The Legendary Journeys JumpChain.pdf")</f>
        <v>Xena - Hercules - The Legendary Journeys JumpChain.pdf</v>
      </c>
      <c r="B1079" s="12" t="str">
        <f t="shared" si="188"/>
        <v>DriveAnon's 4chan Drive/2. EVERYONE ELSE'S JUMPS/2. Complete but need image work/W-Z</v>
      </c>
    </row>
    <row r="1080">
      <c r="A1080" s="12" t="str">
        <f>HYPERLINK("https://drive.google.com/file/d/1IWhUWQEXE9tpilokQ9tkn__6eY6SzFgV/view?usp=drivesdk","Wii Sports Resort JumpChain.pdf")</f>
        <v>Wii Sports Resort JumpChain.pdf</v>
      </c>
      <c r="B1080" s="12" t="str">
        <f t="shared" si="188"/>
        <v>DriveAnon's 4chan Drive/2. EVERYONE ELSE'S JUMPS/2. Complete but need image work/W-Z</v>
      </c>
    </row>
    <row r="1081">
      <c r="A1081" s="12" t="str">
        <f>HYPERLINK("https://drive.google.com/file/d/1KOqnlPntSSAFL3AXoGaYfAaLch1bgkOB/view?usp=drivesdk","Youtube JumpChain.pdf")</f>
        <v>Youtube JumpChain.pdf</v>
      </c>
      <c r="B1081" s="12" t="str">
        <f t="shared" si="188"/>
        <v>DriveAnon's 4chan Drive/2. EVERYONE ELSE'S JUMPS/2. Complete but need image work/W-Z</v>
      </c>
    </row>
    <row r="1082">
      <c r="A1082" s="12" t="str">
        <f>HYPERLINK("https://drive.google.com/file/d/1KhrDkOKVc9dWp8Zgf3fsx9wkawsEDb0S/view?usp=drivesdk","Yamada and the Seven Witches JumpChain.pdf")</f>
        <v>Yamada and the Seven Witches JumpChain.pdf</v>
      </c>
      <c r="B1082" s="12" t="str">
        <f t="shared" si="188"/>
        <v>DriveAnon's 4chan Drive/2. EVERYONE ELSE'S JUMPS/2. Complete but need image work/W-Z</v>
      </c>
    </row>
    <row r="1083">
      <c r="A1083" s="12" t="str">
        <f>HYPERLINK("https://drive.google.com/file/d/1LWOIrqmM_7PljceUAJsVvVmEoa_J94FQ/view?usp=drivesdk","Wild Cardz JumpChain.pdf")</f>
        <v>Wild Cardz JumpChain.pdf</v>
      </c>
      <c r="B1083" s="12" t="str">
        <f t="shared" si="188"/>
        <v>DriveAnon's 4chan Drive/2. EVERYONE ELSE'S JUMPS/2. Complete but need image work/W-Z</v>
      </c>
    </row>
    <row r="1084">
      <c r="A1084" s="12" t="str">
        <f>HYPERLINK("https://drive.google.com/file/d/1Pf2hbUFDC-GJfzoLejHiU896gYudUrXL/view?usp=drivesdk","Zootopia JumpChain.pdf")</f>
        <v>Zootopia JumpChain.pdf</v>
      </c>
      <c r="B1084" s="12" t="str">
        <f t="shared" si="188"/>
        <v>DriveAnon's 4chan Drive/2. EVERYONE ELSE'S JUMPS/2. Complete but need image work/W-Z</v>
      </c>
    </row>
    <row r="1085">
      <c r="A1085" s="12" t="str">
        <f>HYPERLINK("https://drive.google.com/file/d/1dvUJsGikQvcE11iLvpQri4-bkCMM8_-T/view?usp=drivesdk","Wee Sing JumpChain.pdf")</f>
        <v>Wee Sing JumpChain.pdf</v>
      </c>
      <c r="B1085" s="12" t="str">
        <f t="shared" si="188"/>
        <v>DriveAnon's 4chan Drive/2. EVERYONE ELSE'S JUMPS/2. Complete but need image work/W-Z</v>
      </c>
    </row>
    <row r="1086">
      <c r="A1086" s="12" t="str">
        <f>HYPERLINK("https://drive.google.com/file/d/1evQZEA75SnNGbWhut8jaZ2-sqxkJTZCl/view?usp=drivesdk","Wuxia JumpChain.pdf")</f>
        <v>Wuxia JumpChain.pdf</v>
      </c>
      <c r="B1086" s="12" t="str">
        <f t="shared" si="188"/>
        <v>DriveAnon's 4chan Drive/2. EVERYONE ELSE'S JUMPS/2. Complete but need image work/W-Z</v>
      </c>
    </row>
    <row r="1087">
      <c r="A1087" s="12" t="str">
        <f>HYPERLINK("https://drive.google.com/file/d/1jfWbPEMB-nwGXfeiQ3erVl1AD2V5u_ub/view?usp=drivesdk","We Know The Devil JumpChain.pdf")</f>
        <v>We Know The Devil JumpChain.pdf</v>
      </c>
      <c r="B1087" s="12" t="str">
        <f t="shared" si="188"/>
        <v>DriveAnon's 4chan Drive/2. EVERYONE ELSE'S JUMPS/2. Complete but need image work/W-Z</v>
      </c>
    </row>
    <row r="1088">
      <c r="A1088" s="12" t="str">
        <f>HYPERLINK("https://drive.google.com/file/d/1qVPAtJGuM6O1KD19A1uZOZ7YkOcefU2U/view?usp=drivesdk","Xenogenesis JumpChain.pdf")</f>
        <v>Xenogenesis JumpChain.pdf</v>
      </c>
      <c r="B1088" s="12" t="str">
        <f t="shared" si="188"/>
        <v>DriveAnon's 4chan Drive/2. EVERYONE ELSE'S JUMPS/2. Complete but need image work/W-Z</v>
      </c>
    </row>
    <row r="1089">
      <c r="A1089" s="12" t="str">
        <f>HYPERLINK("https://drive.google.com/file/d/13lCkABr4RrhAZ9VXRHlMeg8lAqyUQ99X/view?usp=drivesdk","West Wing Jumpchain.pdf")</f>
        <v>West Wing Jumpchain.pdf</v>
      </c>
      <c r="B1089" s="12" t="str">
        <f t="shared" si="188"/>
        <v>DriveAnon's 4chan Drive/2. EVERYONE ELSE'S JUMPS/2. Complete but need image work/W-Z</v>
      </c>
    </row>
    <row r="1090">
      <c r="A1090" s="12" t="str">
        <f>HYPERLINK("https://drive.google.com/file/d/1SxJAaBajWe1_OGNBGLyoDdebv0sc1unh/view?usp=drivesdk","ZooTycoon JumpChain.pdf")</f>
        <v>ZooTycoon JumpChain.pdf</v>
      </c>
      <c r="B1090" s="12" t="str">
        <f t="shared" si="188"/>
        <v>DriveAnon's 4chan Drive/2. EVERYONE ELSE'S JUMPS/2. Complete but need image work/W-Z</v>
      </c>
    </row>
    <row r="1091">
      <c r="A1091" s="12" t="str">
        <f>HYPERLINK("https://drive.google.com/file/d/1h0Sk40IOVTV2eOV8dnaKaz2PIvdBIAm3/view?usp=drivesdk","Winnie the Pooh JumpChain.pdf")</f>
        <v>Winnie the Pooh JumpChain.pdf</v>
      </c>
      <c r="B1091" s="12" t="str">
        <f t="shared" si="188"/>
        <v>DriveAnon's 4chan Drive/2. EVERYONE ELSE'S JUMPS/2. Complete but need image work/W-Z</v>
      </c>
    </row>
    <row r="1092">
      <c r="A1092" s="12" t="str">
        <f>HYPERLINK("https://drive.google.com/file/d/1kbFILPyWP7W6Rgx1_qZvkbBNTro4yzDF/view?usp=drivesdk","World of Warcraft Jumpchain.pdf")</f>
        <v>World of Warcraft Jumpchain.pdf</v>
      </c>
      <c r="B1092" s="12" t="str">
        <f t="shared" si="188"/>
        <v>DriveAnon's 4chan Drive/2. EVERYONE ELSE'S JUMPS/2. Complete but need image work/W-Z</v>
      </c>
    </row>
    <row r="1093">
      <c r="A1093" s="12" t="str">
        <f>HYPERLINK("https://drive.google.com/file/d/12wnxHLM1eJFcolsQAk0UYBCs5HrN9CcQ/view?usp=drivesdk","Yu Yu Hakusho JumpChain.pdf")</f>
        <v>Yu Yu Hakusho JumpChain.pdf</v>
      </c>
      <c r="B1093" s="12" t="str">
        <f t="shared" si="188"/>
        <v>DriveAnon's 4chan Drive/2. EVERYONE ELSE'S JUMPS/2. Complete but need image work/W-Z</v>
      </c>
    </row>
    <row r="1094">
      <c r="A1094" s="12" t="str">
        <f>HYPERLINK("https://drive.google.com/file/d/1R1TVGZh8ycgoYoJp6Q7ljPBfmgJv1Ydy/view?usp=drivesdk","Who Framed Roger Rabbit JumpChain.pdf")</f>
        <v>Who Framed Roger Rabbit JumpChain.pdf</v>
      </c>
      <c r="B1094" s="12" t="str">
        <f t="shared" si="188"/>
        <v>DriveAnon's 4chan Drive/2. EVERYONE ELSE'S JUMPS/2. Complete but need image work/W-Z</v>
      </c>
    </row>
    <row r="1095">
      <c r="A1095" s="12" t="str">
        <f>HYPERLINK("https://drive.google.com/file/d/1SYQjEbFVBhe1wslNu2YIa6OqBPY6SgMI/view?usp=drivesdk","Willy Wonka JumpChain.pdf")</f>
        <v>Willy Wonka JumpChain.pdf</v>
      </c>
      <c r="B1095" s="12" t="str">
        <f t="shared" si="188"/>
        <v>DriveAnon's 4chan Drive/2. EVERYONE ELSE'S JUMPS/2. Complete but need image work/W-Z</v>
      </c>
    </row>
    <row r="1096">
      <c r="A1096" s="12" t="str">
        <f>HYPERLINK("https://drive.google.com/file/d/1T7RcRdBRAXYiHVa7zl1wNMYPh6Jm2nME/view?usp=drivesdk","You Are A Pirate JumpChain.pdf")</f>
        <v>You Are A Pirate JumpChain.pdf</v>
      </c>
      <c r="B1096" s="12" t="str">
        <f t="shared" si="188"/>
        <v>DriveAnon's 4chan Drive/2. EVERYONE ELSE'S JUMPS/2. Complete but need image work/W-Z</v>
      </c>
    </row>
    <row r="1097">
      <c r="A1097" s="12" t="str">
        <f>HYPERLINK("https://drive.google.com/file/d/1aJcoUaRUm3SvuK5QCtxckltU1L24D2JX/view?usp=drivesdk","Youjo Senki - The Saga Of Tanya The Evil Jumpchain.pdf")</f>
        <v>Youjo Senki - The Saga Of Tanya The Evil Jumpchain.pdf</v>
      </c>
      <c r="B1097" s="12" t="str">
        <f t="shared" si="188"/>
        <v>DriveAnon's 4chan Drive/2. EVERYONE ELSE'S JUMPS/2. Complete but need image work/W-Z</v>
      </c>
    </row>
    <row r="1098">
      <c r="A1098" s="12" t="str">
        <f>HYPERLINK("https://drive.google.com/file/d/1iQrjaZHmw1gJpvkxqqmiMCrdjcUxZDY8/view?usp=drivesdk","Warframe JumpChain.pdf")</f>
        <v>Warframe JumpChain.pdf</v>
      </c>
      <c r="B1098" s="12" t="str">
        <f t="shared" si="188"/>
        <v>DriveAnon's 4chan Drive/2. EVERYONE ELSE'S JUMPS/2. Complete but need image work/W-Z</v>
      </c>
    </row>
    <row r="1099">
      <c r="A1099" s="12" t="str">
        <f>HYPERLINK("https://drive.google.com/file/d/1kRSIps-9_GrBsj5a7eobtiB-s7WPVUir/view?usp=drivesdk","World Seed JumpChain.pdf")</f>
        <v>World Seed JumpChain.pdf</v>
      </c>
      <c r="B1099" s="12" t="str">
        <f t="shared" si="188"/>
        <v>DriveAnon's 4chan Drive/2. EVERYONE ELSE'S JUMPS/2. Complete but need image work/W-Z</v>
      </c>
    </row>
    <row r="1100">
      <c r="A1100" s="12" t="str">
        <f>HYPERLINK("https://drive.google.com/file/d/1l3m5w15JSsXdO5DtljMxXoPGPoG1u6lY/view?usp=drivesdk","WALL-E JumpChain.pdf")</f>
        <v>WALL-E JumpChain.pdf</v>
      </c>
      <c r="B1100" s="12" t="str">
        <f t="shared" si="188"/>
        <v>DriveAnon's 4chan Drive/2. EVERYONE ELSE'S JUMPS/2. Complete but need image work/W-Z</v>
      </c>
    </row>
    <row r="1101">
      <c r="A1101" s="12" t="str">
        <f>HYPERLINK("https://drive.google.com/file/d/1tpwIl_LWL-1C4_D7TKE3qXOtvR-xbHvE/view?usp=drivesdk","Zombies ate my neighbors! JumpChain.pdf")</f>
        <v>Zombies ate my neighbors! JumpChain.pdf</v>
      </c>
      <c r="B1101" s="12" t="str">
        <f t="shared" si="188"/>
        <v>DriveAnon's 4chan Drive/2. EVERYONE ELSE'S JUMPS/2. Complete but need image work/W-Z</v>
      </c>
    </row>
    <row r="1102">
      <c r="A1102" s="12" t="str">
        <f>HYPERLINK("https://drive.google.com/file/d/1eWlVy16lEsVjPYYB2Gp2qcVRWRFiCSjB/view?usp=drivesdk","X-Files.pdf")</f>
        <v>X-Files.pdf</v>
      </c>
      <c r="B1102" s="12" t="str">
        <f t="shared" si="188"/>
        <v>DriveAnon's 4chan Drive/2. EVERYONE ELSE'S JUMPS/2. Complete but need image work/W-Z</v>
      </c>
    </row>
    <row r="1103">
      <c r="A1103" s="12" t="str">
        <f>HYPERLINK("https://drive.google.com/file/d/1iLvmgXMn9bOQQpa5_vJuLs-O5OUz0n61/view?usp=drivesdk","Weathering With Your Name v1.0.2.pdf")</f>
        <v>Weathering With Your Name v1.0.2.pdf</v>
      </c>
      <c r="B1103" s="12" t="str">
        <f t="shared" si="188"/>
        <v>DriveAnon's 4chan Drive/2. EVERYONE ELSE'S JUMPS/2. Complete but need image work/W-Z</v>
      </c>
    </row>
    <row r="1104">
      <c r="A1104" s="12" t="str">
        <f>HYPERLINK("https://drive.google.com/file/d/1jIvI9cQNav12Yi_64NJOoWP0KfvG3-HY/view?usp=drivesdk","Wargroove Jumpchain-Double Trouble.pdf")</f>
        <v>Wargroove Jumpchain-Double Trouble.pdf</v>
      </c>
      <c r="B1104" s="12" t="str">
        <f t="shared" si="188"/>
        <v>DriveAnon's 4chan Drive/2. EVERYONE ELSE'S JUMPS/2. Complete but need image work/W-Z</v>
      </c>
    </row>
    <row r="1105">
      <c r="A1105" s="12" t="str">
        <f>HYPERLINK("https://drive.google.com/file/d/1mStsKIT_6YaRdBlejO1mM_VSRmVrXgmv/view?usp=drivesdk","Walk Hard.pdf")</f>
        <v>Walk Hard.pdf</v>
      </c>
      <c r="B1105" s="12" t="str">
        <f t="shared" si="188"/>
        <v>DriveAnon's 4chan Drive/2. EVERYONE ELSE'S JUMPS/2. Complete but need image work/W-Z</v>
      </c>
    </row>
    <row r="1106">
      <c r="A1106" s="12" t="str">
        <f>HYPERLINK("https://drive.google.com/file/d/1nQX485qyPqzmDGWWXI4eQRoKRvRF_xgp/view?usp=drivesdk","Wandering Inn.pdf")</f>
        <v>Wandering Inn.pdf</v>
      </c>
      <c r="B1106" s="12" t="str">
        <f t="shared" si="188"/>
        <v>DriveAnon's 4chan Drive/2. EVERYONE ELSE'S JUMPS/2. Complete but need image work/W-Z</v>
      </c>
    </row>
    <row r="1107">
      <c r="A1107" s="12" t="str">
        <f>HYPERLINK("https://drive.google.com/file/d/1fZG6WZ-k39o2Xk1GhB3S1rlZNh7KLaI_/view?usp=drivesdk","Waterworld.pdf")</f>
        <v>Waterworld.pdf</v>
      </c>
      <c r="B1107" s="12" t="str">
        <f t="shared" si="188"/>
        <v>DriveAnon's 4chan Drive/2. EVERYONE ELSE'S JUMPS/2. Complete but need image work/W-Z</v>
      </c>
    </row>
    <row r="1108">
      <c r="A1108" s="12" t="str">
        <f>HYPERLINK("https://drive.google.com/file/d/1QdbASwhQt7vf7qTnQNo5xrksqU5kiyZl/view?usp=drivesdk","Skul the Hero Slayer.pdf")</f>
        <v>Skul the Hero Slayer.pdf</v>
      </c>
      <c r="B1108" s="12" t="str">
        <f t="shared" ref="B1108:B1337" si="189">HYPERLINK("https://drive.google.com/drive/folders/1lVHN4CKPS4Haqq9uGq22q1UTEq1dSGEM","DriveAnon's 4chan Drive/2. EVERYONE ELSE'S JUMPS/2. Complete but need image work/Q-V Jumps")</f>
        <v>DriveAnon's 4chan Drive/2. EVERYONE ELSE'S JUMPS/2. Complete but need image work/Q-V Jumps</v>
      </c>
    </row>
    <row r="1109">
      <c r="A1109" s="12" t="str">
        <f>HYPERLINK("https://drive.google.com/file/d/1IRpUWyPv5quEgJAwR9daoj4L_j3v9zWx/view?usp=drivesdk","Saikyou Juzoku Tensei Cheat Majutsushi No Slow Life.pdf")</f>
        <v>Saikyou Juzoku Tensei Cheat Majutsushi No Slow Life.pdf</v>
      </c>
      <c r="B1109" s="12" t="str">
        <f t="shared" si="189"/>
        <v>DriveAnon's 4chan Drive/2. EVERYONE ELSE'S JUMPS/2. Complete but need image work/Q-V Jumps</v>
      </c>
    </row>
    <row r="1110">
      <c r="A1110" s="12" t="str">
        <f>HYPERLINK("https://drive.google.com/file/d/1Za_LuJDtfn4O9ZAtSsQdHJLrS3xmlN9V/view?usp=drivesdk","Sword &amp; Sorcery.pdf")</f>
        <v>Sword &amp; Sorcery.pdf</v>
      </c>
      <c r="B1110" s="12" t="str">
        <f t="shared" si="189"/>
        <v>DriveAnon's 4chan Drive/2. EVERYONE ELSE'S JUMPS/2. Complete but need image work/Q-V Jumps</v>
      </c>
    </row>
    <row r="1111">
      <c r="A1111" s="12" t="str">
        <f>HYPERLINK("https://drive.google.com/file/d/10gUPsh2FtI0PVtD4ZLtD_JyJ6eoJf--v/view?usp=drivesdk","Spirit Of The North.pdf")</f>
        <v>Spirit Of The North.pdf</v>
      </c>
      <c r="B1111" s="12" t="str">
        <f t="shared" si="189"/>
        <v>DriveAnon's 4chan Drive/2. EVERYONE ELSE'S JUMPS/2. Complete but need image work/Q-V Jumps</v>
      </c>
    </row>
    <row r="1112">
      <c r="A1112" s="12" t="str">
        <f>HYPERLINK("https://drive.google.com/file/d/1n_V4sqTyNGkUQvKxG11ZNZ79xp966GAf/view?usp=drivesdk","Unreal World.pdf")</f>
        <v>Unreal World.pdf</v>
      </c>
      <c r="B1112" s="12" t="str">
        <f t="shared" si="189"/>
        <v>DriveAnon's 4chan Drive/2. EVERYONE ELSE'S JUMPS/2. Complete but need image work/Q-V Jumps</v>
      </c>
    </row>
    <row r="1113">
      <c r="A1113" s="12" t="str">
        <f>HYPERLINK("https://drive.google.com/file/d/1O7fs4qu9O7YXWDmteyutnKM2JycOFDDp/view?usp=drivesdk","Richie Rich.pdf")</f>
        <v>Richie Rich.pdf</v>
      </c>
      <c r="B1113" s="12" t="str">
        <f t="shared" si="189"/>
        <v>DriveAnon's 4chan Drive/2. EVERYONE ELSE'S JUMPS/2. Complete but need image work/Q-V Jumps</v>
      </c>
    </row>
    <row r="1114">
      <c r="A1114" s="12" t="str">
        <f>HYPERLINK("https://drive.google.com/file/d/1jj6xPxAibsRuLjQeeWOPFiHM2gZYlGGM/view?usp=drivesdk","The Thing.pdf")</f>
        <v>The Thing.pdf</v>
      </c>
      <c r="B1114" s="12" t="str">
        <f t="shared" si="189"/>
        <v>DriveAnon's 4chan Drive/2. EVERYONE ELSE'S JUMPS/2. Complete but need image work/Q-V Jumps</v>
      </c>
    </row>
    <row r="1115">
      <c r="A1115" s="12" t="str">
        <f>HYPERLINK("https://drive.google.com/file/d/1WEuWhAh5asyARy0B5a9NfhEkuco1GoN-/view?usp=drivesdk","Unsong.pdf")</f>
        <v>Unsong.pdf</v>
      </c>
      <c r="B1115" s="12" t="str">
        <f t="shared" si="189"/>
        <v>DriveAnon's 4chan Drive/2. EVERYONE ELSE'S JUMPS/2. Complete but need image work/Q-V Jumps</v>
      </c>
    </row>
    <row r="1116">
      <c r="A1116" s="12" t="str">
        <f>HYPERLINK("https://drive.google.com/file/d/1DFA9DzEmylDcPWgIoNaoAn42NUOeaLDf/view?usp=drivesdk","Tenjou Tenge.pdf")</f>
        <v>Tenjou Tenge.pdf</v>
      </c>
      <c r="B1116" s="12" t="str">
        <f t="shared" si="189"/>
        <v>DriveAnon's 4chan Drive/2. EVERYONE ELSE'S JUMPS/2. Complete but need image work/Q-V Jumps</v>
      </c>
    </row>
    <row r="1117">
      <c r="A1117" s="12" t="str">
        <f>HYPERLINK("https://drive.google.com/file/d/1Dg59NTojzy3BecKKWWn2yAxiLIazYmFG/view?usp=drivesdk","Voltron Legendary Defender.pdf")</f>
        <v>Voltron Legendary Defender.pdf</v>
      </c>
      <c r="B1117" s="12" t="str">
        <f t="shared" si="189"/>
        <v>DriveAnon's 4chan Drive/2. EVERYONE ELSE'S JUMPS/2. Complete but need image work/Q-V Jumps</v>
      </c>
    </row>
    <row r="1118">
      <c r="A1118" s="12" t="str">
        <f>HYPERLINK("https://drive.google.com/file/d/1GaHL8zVMZHl2RbQzJYOeJK7zQKDmFw34/view?usp=drivesdk","Shadows of the Limelight.pdf")</f>
        <v>Shadows of the Limelight.pdf</v>
      </c>
      <c r="B1118" s="12" t="str">
        <f t="shared" si="189"/>
        <v>DriveAnon's 4chan Drive/2. EVERYONE ELSE'S JUMPS/2. Complete but need image work/Q-V Jumps</v>
      </c>
    </row>
    <row r="1119">
      <c r="A1119" s="12" t="str">
        <f>HYPERLINK("https://drive.google.com/file/d/1hZcxrEVPkpSPs7QSnFGgSdyMy5NEo28H/view?usp=drivesdk","Scion.pdf")</f>
        <v>Scion.pdf</v>
      </c>
      <c r="B1119" s="12" t="str">
        <f t="shared" si="189"/>
        <v>DriveAnon's 4chan Drive/2. EVERYONE ELSE'S JUMPS/2. Complete but need image work/Q-V Jumps</v>
      </c>
    </row>
    <row r="1120">
      <c r="A1120" s="12" t="str">
        <f>HYPERLINK("https://drive.google.com/file/d/15wECqDrPcA5MST-d9rfNxr26Si-HlUW0/view?usp=drivesdk","The Ocean Hunter.pdf")</f>
        <v>The Ocean Hunter.pdf</v>
      </c>
      <c r="B1120" s="12" t="str">
        <f t="shared" si="189"/>
        <v>DriveAnon's 4chan Drive/2. EVERYONE ELSE'S JUMPS/2. Complete but need image work/Q-V Jumps</v>
      </c>
    </row>
    <row r="1121">
      <c r="A1121" s="12" t="str">
        <f>HYPERLINK("https://drive.google.com/file/d/1fK2HGErCYowFcNzbhv9aNg9S1Yu9eVz0/view?usp=drivesdk","Tremors.pdf")</f>
        <v>Tremors.pdf</v>
      </c>
      <c r="B1121" s="12" t="str">
        <f t="shared" si="189"/>
        <v>DriveAnon's 4chan Drive/2. EVERYONE ELSE'S JUMPS/2. Complete but need image work/Q-V Jumps</v>
      </c>
    </row>
    <row r="1122">
      <c r="A1122" s="12" t="str">
        <f>HYPERLINK("https://drive.google.com/file/d/1v28gkynMlvkXFSbQ7FfxtV0gUa3AEPy7/view?usp=drivesdk","Terraria.pdf")</f>
        <v>Terraria.pdf</v>
      </c>
      <c r="B1122" s="12" t="str">
        <f t="shared" si="189"/>
        <v>DriveAnon's 4chan Drive/2. EVERYONE ELSE'S JUMPS/2. Complete but need image work/Q-V Jumps</v>
      </c>
    </row>
    <row r="1123">
      <c r="A1123" s="12" t="str">
        <f>HYPERLINK("https://drive.google.com/file/d/1ZWzw_m88EG9CZTtHkpN_5nxVi9LQUuPa/view?usp=drivesdk","The Melancholy Of Haruhi Suzumiya.pdf")</f>
        <v>The Melancholy Of Haruhi Suzumiya.pdf</v>
      </c>
      <c r="B1123" s="12" t="str">
        <f t="shared" si="189"/>
        <v>DriveAnon's 4chan Drive/2. EVERYONE ELSE'S JUMPS/2. Complete but need image work/Q-V Jumps</v>
      </c>
    </row>
    <row r="1124">
      <c r="A1124" s="12" t="str">
        <f>HYPERLINK("https://drive.google.com/file/d/1KxWhQ26PydfWeg7JmhMr6b0YjA314VlQ/view?usp=drivesdk","Under Night in Birth.pdf")</f>
        <v>Under Night in Birth.pdf</v>
      </c>
      <c r="B1124" s="12" t="str">
        <f t="shared" si="189"/>
        <v>DriveAnon's 4chan Drive/2. EVERYONE ELSE'S JUMPS/2. Complete but need image work/Q-V Jumps</v>
      </c>
    </row>
    <row r="1125">
      <c r="A1125" s="12" t="str">
        <f>HYPERLINK("https://drive.google.com/file/d/1TKWL9vc06BN4pDDa0BNrs6qh0bVG0gK0/view?usp=drivesdk","Spirited Away.pdf")</f>
        <v>Spirited Away.pdf</v>
      </c>
      <c r="B1125" s="12" t="str">
        <f t="shared" si="189"/>
        <v>DriveAnon's 4chan Drive/2. EVERYONE ELSE'S JUMPS/2. Complete but need image work/Q-V Jumps</v>
      </c>
    </row>
    <row r="1126">
      <c r="A1126" s="12" t="str">
        <f>HYPERLINK("https://drive.google.com/file/d/1FzB1HuqNVJF7GH8pB83SS8btM09lSDpN/view?usp=drivesdk","Ragnarok Online.pdf")</f>
        <v>Ragnarok Online.pdf</v>
      </c>
      <c r="B1126" s="12" t="str">
        <f t="shared" si="189"/>
        <v>DriveAnon's 4chan Drive/2. EVERYONE ELSE'S JUMPS/2. Complete but need image work/Q-V Jumps</v>
      </c>
    </row>
    <row r="1127">
      <c r="A1127" s="12" t="str">
        <f>HYPERLINK("https://drive.google.com/file/d/1sukIRkcVX1389OCT50WLqzUU9jr006uG/view?usp=drivesdk","Recettear.pdf")</f>
        <v>Recettear.pdf</v>
      </c>
      <c r="B1127" s="12" t="str">
        <f t="shared" si="189"/>
        <v>DriveAnon's 4chan Drive/2. EVERYONE ELSE'S JUMPS/2. Complete but need image work/Q-V Jumps</v>
      </c>
    </row>
    <row r="1128">
      <c r="A1128" s="12" t="str">
        <f>HYPERLINK("https://drive.google.com/file/d/1geLo_Gt9jDuv6YLh47syNRYHJm2d3WNR/view?usp=drivesdk","Seoul Station_s Necromancer.pdf")</f>
        <v>Seoul Station_s Necromancer.pdf</v>
      </c>
      <c r="B1128" s="12" t="str">
        <f t="shared" si="189"/>
        <v>DriveAnon's 4chan Drive/2. EVERYONE ELSE'S JUMPS/2. Complete but need image work/Q-V Jumps</v>
      </c>
    </row>
    <row r="1129">
      <c r="A1129" s="12" t="str">
        <f>HYPERLINK("https://drive.google.com/file/d/1j6AvaxEjFI2CsEdKhg7iUPc3dPnpQq-M/view?usp=drivesdk","SaGa Frontier.pdf")</f>
        <v>SaGa Frontier.pdf</v>
      </c>
      <c r="B1129" s="12" t="str">
        <f t="shared" si="189"/>
        <v>DriveAnon's 4chan Drive/2. EVERYONE ELSE'S JUMPS/2. Complete but need image work/Q-V Jumps</v>
      </c>
    </row>
    <row r="1130">
      <c r="A1130" s="12" t="str">
        <f>HYPERLINK("https://drive.google.com/file/d/1lOvZuNligJc-3XkQjnwN_5ASznQdbuDH/view?usp=drivesdk","Road to Stardom The Pick of Destiny.pdf")</f>
        <v>Road to Stardom The Pick of Destiny.pdf</v>
      </c>
      <c r="B1130" s="12" t="str">
        <f t="shared" si="189"/>
        <v>DriveAnon's 4chan Drive/2. EVERYONE ELSE'S JUMPS/2. Complete but need image work/Q-V Jumps</v>
      </c>
    </row>
    <row r="1131">
      <c r="A1131" s="12" t="str">
        <f>HYPERLINK("https://drive.google.com/file/d/1Sn4XClFyXG5nfbFNrnF5qgi8uxQscso9/view?usp=drivesdk","South Park - The Fractured But Whole.pdf")</f>
        <v>South Park - The Fractured But Whole.pdf</v>
      </c>
      <c r="B1131" s="12" t="str">
        <f t="shared" si="189"/>
        <v>DriveAnon's 4chan Drive/2. EVERYONE ELSE'S JUMPS/2. Complete but need image work/Q-V Jumps</v>
      </c>
    </row>
    <row r="1132">
      <c r="A1132" s="12" t="str">
        <f>HYPERLINK("https://drive.google.com/file/d/1sntJt8vvxh2_LmPaekBG4E0CdzflSbDb/view?usp=drivesdk","Shakugan No Shana.pdf")</f>
        <v>Shakugan No Shana.pdf</v>
      </c>
      <c r="B1132" s="12" t="str">
        <f t="shared" si="189"/>
        <v>DriveAnon's 4chan Drive/2. EVERYONE ELSE'S JUMPS/2. Complete but need image work/Q-V Jumps</v>
      </c>
    </row>
    <row r="1133">
      <c r="A1133" s="12" t="str">
        <f>HYPERLINK("https://drive.google.com/file/d/16krec8d1M1uxHlSvWy0FMfGnPrt2iSjY/view?usp=drivesdk","Seiken Tsukai no World Break.pdf")</f>
        <v>Seiken Tsukai no World Break.pdf</v>
      </c>
      <c r="B1133" s="12" t="str">
        <f t="shared" si="189"/>
        <v>DriveAnon's 4chan Drive/2. EVERYONE ELSE'S JUMPS/2. Complete but need image work/Q-V Jumps</v>
      </c>
    </row>
    <row r="1134">
      <c r="A1134" s="12" t="str">
        <f>HYPERLINK("https://drive.google.com/file/d/1EfWn3nUNwxbLKJlXV-yJQFjtkVUeXTCC/view?usp=drivesdk","Shantae.pdf")</f>
        <v>Shantae.pdf</v>
      </c>
      <c r="B1134" s="12" t="str">
        <f t="shared" si="189"/>
        <v>DriveAnon's 4chan Drive/2. EVERYONE ELSE'S JUMPS/2. Complete but need image work/Q-V Jumps</v>
      </c>
    </row>
    <row r="1135">
      <c r="A1135" s="12" t="str">
        <f>HYPERLINK("https://drive.google.com/file/d/1trRM3UPUK3CpnWKPVIlTz2IouuSD6kc9/view?usp=drivesdk","Sudeki JumpChain.pdf")</f>
        <v>Sudeki JumpChain.pdf</v>
      </c>
      <c r="B1135" s="12" t="str">
        <f t="shared" si="189"/>
        <v>DriveAnon's 4chan Drive/2. EVERYONE ELSE'S JUMPS/2. Complete but need image work/Q-V Jumps</v>
      </c>
    </row>
    <row r="1136">
      <c r="A1136" s="12" t="str">
        <f>HYPERLINK("https://drive.google.com/file/d/1wLtgzPzZiHRAkLzXpGEYB1eyjeSOwfbo/view?usp=drivesdk","Quest for Camelot.pdf")</f>
        <v>Quest for Camelot.pdf</v>
      </c>
      <c r="B1136" s="12" t="str">
        <f t="shared" si="189"/>
        <v>DriveAnon's 4chan Drive/2. EVERYONE ELSE'S JUMPS/2. Complete but need image work/Q-V Jumps</v>
      </c>
    </row>
    <row r="1137">
      <c r="A1137" s="12" t="str">
        <f>HYPERLINK("https://drive.google.com/file/d/1LtOh62MuFFnZJvnvJ4zEQhs0t75-Zmd3/view?usp=drivesdk","The Seven Deadly Sins JumpChain.pdf")</f>
        <v>The Seven Deadly Sins JumpChain.pdf</v>
      </c>
      <c r="B1137" s="12" t="str">
        <f t="shared" si="189"/>
        <v>DriveAnon's 4chan Drive/2. EVERYONE ELSE'S JUMPS/2. Complete but need image work/Q-V Jumps</v>
      </c>
    </row>
    <row r="1138">
      <c r="A1138" s="12" t="str">
        <f>HYPERLINK("https://drive.google.com/file/d/1L1gYcRhObwZLTodL0Wb-SsB5FyFMrCSV/view?usp=drivesdk","Trinity Wonder JumpChain.pdf")</f>
        <v>Trinity Wonder JumpChain.pdf</v>
      </c>
      <c r="B1138" s="12" t="str">
        <f t="shared" si="189"/>
        <v>DriveAnon's 4chan Drive/2. EVERYONE ELSE'S JUMPS/2. Complete but need image work/Q-V Jumps</v>
      </c>
    </row>
    <row r="1139">
      <c r="A1139" s="12" t="str">
        <f>HYPERLINK("https://drive.google.com/file/d/10RbZcAKNiMgx7OiUAWrGk2F5uYIkZEyL/view?usp=drivesdk","Sesame Street JumpChain.pdf")</f>
        <v>Sesame Street JumpChain.pdf</v>
      </c>
      <c r="B1139" s="12" t="str">
        <f t="shared" si="189"/>
        <v>DriveAnon's 4chan Drive/2. EVERYONE ELSE'S JUMPS/2. Complete but need image work/Q-V Jumps</v>
      </c>
    </row>
    <row r="1140">
      <c r="A1140" s="12" t="str">
        <f>HYPERLINK("https://drive.google.com/file/d/116gE9MiLIkM0CkbQ13H1mE072RHx7vwz/view?usp=drivesdk","The Old Kingdom JumpChain.pdf")</f>
        <v>The Old Kingdom JumpChain.pdf</v>
      </c>
      <c r="B1140" s="12" t="str">
        <f t="shared" si="189"/>
        <v>DriveAnon's 4chan Drive/2. EVERYONE ELSE'S JUMPS/2. Complete but need image work/Q-V Jumps</v>
      </c>
    </row>
    <row r="1141">
      <c r="A1141" s="12" t="str">
        <f>HYPERLINK("https://drive.google.com/file/d/1242ZoLTLgKs8XxZuG1cs6pBnY6gUkxEF/view?usp=drivesdk","The Irregular At Magic Highschool JumpChain.pdf")</f>
        <v>The Irregular At Magic Highschool JumpChain.pdf</v>
      </c>
      <c r="B1141" s="12" t="str">
        <f t="shared" si="189"/>
        <v>DriveAnon's 4chan Drive/2. EVERYONE ELSE'S JUMPS/2. Complete but need image work/Q-V Jumps</v>
      </c>
    </row>
    <row r="1142">
      <c r="A1142" s="12" t="str">
        <f>HYPERLINK("https://drive.google.com/file/d/13F2URfZry_LhYVNoR3iyvrhsKOHkVeZK/view?usp=drivesdk","Thunderbolt Fantasy JumpChain.pdf")</f>
        <v>Thunderbolt Fantasy JumpChain.pdf</v>
      </c>
      <c r="B1142" s="12" t="str">
        <f t="shared" si="189"/>
        <v>DriveAnon's 4chan Drive/2. EVERYONE ELSE'S JUMPS/2. Complete but need image work/Q-V Jumps</v>
      </c>
    </row>
    <row r="1143">
      <c r="A1143" s="12" t="str">
        <f>HYPERLINK("https://drive.google.com/file/d/181M8R6-SV1UD2UtZWYjt1MOX8d332j5Q/view?usp=drivesdk","The Weakness of Beatrice JumpChain.pdf")</f>
        <v>The Weakness of Beatrice JumpChain.pdf</v>
      </c>
      <c r="B1143" s="12" t="str">
        <f t="shared" si="189"/>
        <v>DriveAnon's 4chan Drive/2. EVERYONE ELSE'S JUMPS/2. Complete but need image work/Q-V Jumps</v>
      </c>
    </row>
    <row r="1144">
      <c r="A1144" s="12" t="str">
        <f>HYPERLINK("https://drive.google.com/file/d/19WKJrCbwNv6M4ZWYLO4AsDVX2W3Ua831/view?usp=drivesdk","The Witches JumpChain.pdf")</f>
        <v>The Witches JumpChain.pdf</v>
      </c>
      <c r="B1144" s="12" t="str">
        <f t="shared" si="189"/>
        <v>DriveAnon's 4chan Drive/2. EVERYONE ELSE'S JUMPS/2. Complete but need image work/Q-V Jumps</v>
      </c>
    </row>
    <row r="1145">
      <c r="A1145" s="12" t="str">
        <f>HYPERLINK("https://drive.google.com/file/d/19y06GHD-j2KqNCMCmQsG-sWDaOczxnxw/view?usp=drivesdk","Rainbow Six Siege JumpChain.pdf")</f>
        <v>Rainbow Six Siege JumpChain.pdf</v>
      </c>
      <c r="B1145" s="12" t="str">
        <f t="shared" si="189"/>
        <v>DriveAnon's 4chan Drive/2. EVERYONE ELSE'S JUMPS/2. Complete but need image work/Q-V Jumps</v>
      </c>
    </row>
    <row r="1146">
      <c r="A1146" s="12" t="str">
        <f>HYPERLINK("https://drive.google.com/file/d/1D7Evlvg31G27WYNeCVrcLR61Vs2cw2eO/view?usp=drivesdk","Rurouni Kenshin JumpChain.pdf")</f>
        <v>Rurouni Kenshin JumpChain.pdf</v>
      </c>
      <c r="B1146" s="12" t="str">
        <f t="shared" si="189"/>
        <v>DriveAnon's 4chan Drive/2. EVERYONE ELSE'S JUMPS/2. Complete but need image work/Q-V Jumps</v>
      </c>
    </row>
    <row r="1147">
      <c r="A1147" s="12" t="str">
        <f>HYPERLINK("https://drive.google.com/file/d/1E0_9gg_LojkOrjvKD8PBsdY4MFnW9rm6/view?usp=drivesdk","Studio Ghibli - Nausicaa JumpChain.pdf")</f>
        <v>Studio Ghibli - Nausicaa JumpChain.pdf</v>
      </c>
      <c r="B1147" s="12" t="str">
        <f t="shared" si="189"/>
        <v>DriveAnon's 4chan Drive/2. EVERYONE ELSE'S JUMPS/2. Complete but need image work/Q-V Jumps</v>
      </c>
    </row>
    <row r="1148">
      <c r="A1148" s="12" t="str">
        <f>HYPERLINK("https://drive.google.com/file/d/1LwLY78keS3XPbufO8Eew7CdblS299rMt/view?usp=drivesdk","Titanfall JumpChain.pdf")</f>
        <v>Titanfall JumpChain.pdf</v>
      </c>
      <c r="B1148" s="12" t="str">
        <f t="shared" si="189"/>
        <v>DriveAnon's 4chan Drive/2. EVERYONE ELSE'S JUMPS/2. Complete but need image work/Q-V Jumps</v>
      </c>
    </row>
    <row r="1149">
      <c r="A1149" s="12" t="str">
        <f>HYPERLINK("https://drive.google.com/file/d/1QJ5asi4h-XzOj3x06qeoa8cRkD9cH7QQ/view?usp=drivesdk","Unsounded JumpChain.pdf")</f>
        <v>Unsounded JumpChain.pdf</v>
      </c>
      <c r="B1149" s="12" t="str">
        <f t="shared" si="189"/>
        <v>DriveAnon's 4chan Drive/2. EVERYONE ELSE'S JUMPS/2. Complete but need image work/Q-V Jumps</v>
      </c>
    </row>
    <row r="1150">
      <c r="A1150" s="12" t="str">
        <f>HYPERLINK("https://drive.google.com/file/d/1R7x--3O-NwAG00CzgXsKFnCqtA25UlOd/view?usp=drivesdk","Turtledove Atlantis JumpChain.pdf")</f>
        <v>Turtledove Atlantis JumpChain.pdf</v>
      </c>
      <c r="B1150" s="12" t="str">
        <f t="shared" si="189"/>
        <v>DriveAnon's 4chan Drive/2. EVERYONE ELSE'S JUMPS/2. Complete but need image work/Q-V Jumps</v>
      </c>
    </row>
    <row r="1151">
      <c r="A1151" s="12" t="str">
        <f>HYPERLINK("https://drive.google.com/file/d/1Y6CEcbI8w202goYDvAf2nucO5JwPdCbu/view?usp=drivesdk","Supernatural JumpChain.pdf")</f>
        <v>Supernatural JumpChain.pdf</v>
      </c>
      <c r="B1151" s="12" t="str">
        <f t="shared" si="189"/>
        <v>DriveAnon's 4chan Drive/2. EVERYONE ELSE'S JUMPS/2. Complete but need image work/Q-V Jumps</v>
      </c>
    </row>
    <row r="1152">
      <c r="A1152" s="12" t="str">
        <f>HYPERLINK("https://drive.google.com/file/d/1ZxWx1dPlmrJf-AqwPXc3Fb2QCOa8Ebfe/view?usp=drivesdk","The Pretender JumpChain.pdf")</f>
        <v>The Pretender JumpChain.pdf</v>
      </c>
      <c r="B1152" s="12" t="str">
        <f t="shared" si="189"/>
        <v>DriveAnon's 4chan Drive/2. EVERYONE ELSE'S JUMPS/2. Complete but need image work/Q-V Jumps</v>
      </c>
    </row>
    <row r="1153">
      <c r="A1153" s="12" t="str">
        <f>HYPERLINK("https://drive.google.com/file/d/1_qF41GtdqFgSnimWaeHSrmnfu3LOEJa5/view?usp=drivesdk","Sekai Oni (World Devil) JumpChain.pdf")</f>
        <v>Sekai Oni (World Devil) JumpChain.pdf</v>
      </c>
      <c r="B1153" s="12" t="str">
        <f t="shared" si="189"/>
        <v>DriveAnon's 4chan Drive/2. EVERYONE ELSE'S JUMPS/2. Complete but need image work/Q-V Jumps</v>
      </c>
    </row>
    <row r="1154">
      <c r="A1154" s="12" t="str">
        <f>HYPERLINK("https://drive.google.com/file/d/1huWe7tafSZWSpH7wXa5HZc0FE-XmOz0w/view?usp=drivesdk","Undocumented Features JumpChain.pdf")</f>
        <v>Undocumented Features JumpChain.pdf</v>
      </c>
      <c r="B1154" s="12" t="str">
        <f t="shared" si="189"/>
        <v>DriveAnon's 4chan Drive/2. EVERYONE ELSE'S JUMPS/2. Complete but need image work/Q-V Jumps</v>
      </c>
    </row>
    <row r="1155">
      <c r="A1155" s="12" t="str">
        <f>HYPERLINK("https://drive.google.com/file/d/1jSR_ZeXQLpSd7iJDah3XjrGaSjOCY7sO/view?usp=drivesdk","The God of High School JumpChain.pdf")</f>
        <v>The God of High School JumpChain.pdf</v>
      </c>
      <c r="B1155" s="12" t="str">
        <f t="shared" si="189"/>
        <v>DriveAnon's 4chan Drive/2. EVERYONE ELSE'S JUMPS/2. Complete but need image work/Q-V Jumps</v>
      </c>
    </row>
    <row r="1156">
      <c r="A1156" s="12" t="str">
        <f>HYPERLINK("https://drive.google.com/file/d/1lvr4OgiyEizWDL7ZqBazCo7R9I3lPplH/view?usp=drivesdk","Ronin Warriors JumpChain.pdf")</f>
        <v>Ronin Warriors JumpChain.pdf</v>
      </c>
      <c r="B1156" s="12" t="str">
        <f t="shared" si="189"/>
        <v>DriveAnon's 4chan Drive/2. EVERYONE ELSE'S JUMPS/2. Complete but need image work/Q-V Jumps</v>
      </c>
    </row>
    <row r="1157">
      <c r="A1157" s="12" t="str">
        <f>HYPERLINK("https://drive.google.com/file/d/1pHPJ1_YYDecPxc_w9hikFT_YcNlAYtVq/view?usp=drivesdk","Thief JumpChain.pdf")</f>
        <v>Thief JumpChain.pdf</v>
      </c>
      <c r="B1157" s="12" t="str">
        <f t="shared" si="189"/>
        <v>DriveAnon's 4chan Drive/2. EVERYONE ELSE'S JUMPS/2. Complete but need image work/Q-V Jumps</v>
      </c>
    </row>
    <row r="1158">
      <c r="A1158" s="12" t="str">
        <f>HYPERLINK("https://drive.google.com/file/d/1qiuo6mmapoXRMEixCToIe8rRnFzvLSo-/view?usp=drivesdk","Symbiote JumpChain.pdf")</f>
        <v>Symbiote JumpChain.pdf</v>
      </c>
      <c r="B1158" s="12" t="str">
        <f t="shared" si="189"/>
        <v>DriveAnon's 4chan Drive/2. EVERYONE ELSE'S JUMPS/2. Complete but need image work/Q-V Jumps</v>
      </c>
    </row>
    <row r="1159">
      <c r="A1159" s="12" t="str">
        <f>HYPERLINK("https://drive.google.com/file/d/1snWVik6u_7ABlFWPP_ptw6YGyHSO7JAY/view?usp=drivesdk","Uncharted Waters JumpChain.pdf")</f>
        <v>Uncharted Waters JumpChain.pdf</v>
      </c>
      <c r="B1159" s="12" t="str">
        <f t="shared" si="189"/>
        <v>DriveAnon's 4chan Drive/2. EVERYONE ELSE'S JUMPS/2. Complete but need image work/Q-V Jumps</v>
      </c>
    </row>
    <row r="1160">
      <c r="A1160" s="12" t="str">
        <f>HYPERLINK("https://drive.google.com/file/d/1tN9XJmAyyWVeK7mDqliWA99Esj4jRDzy/view?usp=drivesdk","Rise Of Legends JumpChain.pdf")</f>
        <v>Rise Of Legends JumpChain.pdf</v>
      </c>
      <c r="B1160" s="12" t="str">
        <f t="shared" si="189"/>
        <v>DriveAnon's 4chan Drive/2. EVERYONE ELSE'S JUMPS/2. Complete but need image work/Q-V Jumps</v>
      </c>
    </row>
    <row r="1161">
      <c r="A1161" s="12" t="str">
        <f>HYPERLINK("https://drive.google.com/file/d/1tQUlnobk3vuTol0diy9InJ6Ja17VA9JQ/view?usp=drivesdk","Stalker JumpChain.pdf")</f>
        <v>Stalker JumpChain.pdf</v>
      </c>
      <c r="B1161" s="12" t="str">
        <f t="shared" si="189"/>
        <v>DriveAnon's 4chan Drive/2. EVERYONE ELSE'S JUMPS/2. Complete but need image work/Q-V Jumps</v>
      </c>
    </row>
    <row r="1162">
      <c r="A1162" s="12" t="str">
        <f>HYPERLINK("https://drive.google.com/file/d/1tRnJzbQ0Q2a_CMsS8YfxX7crMY_h7wDu/view?usp=drivesdk","Viscera Cleanup Detail JumpChain.pdf")</f>
        <v>Viscera Cleanup Detail JumpChain.pdf</v>
      </c>
      <c r="B1162" s="12" t="str">
        <f t="shared" si="189"/>
        <v>DriveAnon's 4chan Drive/2. EVERYONE ELSE'S JUMPS/2. Complete but need image work/Q-V Jumps</v>
      </c>
    </row>
    <row r="1163">
      <c r="A1163" s="12" t="str">
        <f>HYPERLINK("https://drive.google.com/file/d/1xLRwb9wQfooHp9Xr8C1jX_lpSLhCz6s2/view?usp=drivesdk","Red Faction JumpChain.pdf")</f>
        <v>Red Faction JumpChain.pdf</v>
      </c>
      <c r="B1163" s="12" t="str">
        <f t="shared" si="189"/>
        <v>DriveAnon's 4chan Drive/2. EVERYONE ELSE'S JUMPS/2. Complete but need image work/Q-V Jumps</v>
      </c>
    </row>
    <row r="1164">
      <c r="A1164" s="12" t="str">
        <f>HYPERLINK("https://drive.google.com/file/d/1xqV8_WvRnajGxVUfdTIxLoG1cm_e5umg/view?usp=drivesdk","Space Patrol Luluco JumpChain.pdf")</f>
        <v>Space Patrol Luluco JumpChain.pdf</v>
      </c>
      <c r="B1164" s="12" t="str">
        <f t="shared" si="189"/>
        <v>DriveAnon's 4chan Drive/2. EVERYONE ELSE'S JUMPS/2. Complete but need image work/Q-V Jumps</v>
      </c>
    </row>
    <row r="1165">
      <c r="A1165" s="12" t="str">
        <f>HYPERLINK("https://drive.google.com/file/d/118-I5y-wZW6A1zxt3OpO_kPEBkzTPTJV/view?usp=drivesdk","Repo the Genetic Opera JumpChain.pdf")</f>
        <v>Repo the Genetic Opera JumpChain.pdf</v>
      </c>
      <c r="B1165" s="12" t="str">
        <f t="shared" si="189"/>
        <v>DriveAnon's 4chan Drive/2. EVERYONE ELSE'S JUMPS/2. Complete but need image work/Q-V Jumps</v>
      </c>
    </row>
    <row r="1166">
      <c r="A1166" s="12" t="str">
        <f>HYPERLINK("https://drive.google.com/file/d/11wsPKVnVWubyg9Ud8GfmS6dbCfqTgFdJ/view?usp=drivesdk","Squirrel and Hedgehog JumpChain.pdf")</f>
        <v>Squirrel and Hedgehog JumpChain.pdf</v>
      </c>
      <c r="B1166" s="12" t="str">
        <f t="shared" si="189"/>
        <v>DriveAnon's 4chan Drive/2. EVERYONE ELSE'S JUMPS/2. Complete but need image work/Q-V Jumps</v>
      </c>
    </row>
    <row r="1167">
      <c r="A1167" s="12" t="str">
        <f>HYPERLINK("https://drive.google.com/file/d/13TdIWXp2Ufbf-cIFke90p4GIxWp9S40P/view?usp=drivesdk","TRON System JumpChain.pdf")</f>
        <v>TRON System JumpChain.pdf</v>
      </c>
      <c r="B1167" s="12" t="str">
        <f t="shared" si="189"/>
        <v>DriveAnon's 4chan Drive/2. EVERYONE ELSE'S JUMPS/2. Complete but need image work/Q-V Jumps</v>
      </c>
    </row>
    <row r="1168">
      <c r="A1168" s="12" t="str">
        <f>HYPERLINK("https://drive.google.com/file/d/13V20jdu4UL0ma3NZahNTvFNySF_vlbgN/view?usp=drivesdk","The Mighty Boosh JumpChain.pdf")</f>
        <v>The Mighty Boosh JumpChain.pdf</v>
      </c>
      <c r="B1168" s="12" t="str">
        <f t="shared" si="189"/>
        <v>DriveAnon's 4chan Drive/2. EVERYONE ELSE'S JUMPS/2. Complete but need image work/Q-V Jumps</v>
      </c>
    </row>
    <row r="1169">
      <c r="A1169" s="12" t="str">
        <f>HYPERLINK("https://drive.google.com/file/d/14lwjJFJHo2vyQyS_YajpLj852rHaHLF_/view?usp=drivesdk","The Fountain JumpChain.pdf")</f>
        <v>The Fountain JumpChain.pdf</v>
      </c>
      <c r="B1169" s="12" t="str">
        <f t="shared" si="189"/>
        <v>DriveAnon's 4chan Drive/2. EVERYONE ELSE'S JUMPS/2. Complete but need image work/Q-V Jumps</v>
      </c>
    </row>
    <row r="1170">
      <c r="A1170" s="12" t="str">
        <f>HYPERLINK("https://drive.google.com/file/d/15DOJ4f5hA_po4nmt74eLfutb5IXZivJX/view?usp=drivesdk","Red Dwarf Jumpchain.pdf")</f>
        <v>Red Dwarf Jumpchain.pdf</v>
      </c>
      <c r="B1170" s="12" t="str">
        <f t="shared" si="189"/>
        <v>DriveAnon's 4chan Drive/2. EVERYONE ELSE'S JUMPS/2. Complete but need image work/Q-V Jumps</v>
      </c>
    </row>
    <row r="1171">
      <c r="A1171" s="12" t="str">
        <f>HYPERLINK("https://drive.google.com/file/d/16RWKZzpoybc_SlpocbCTMwghWxVwxtBT/view?usp=drivesdk","The Polity JumpChain.pdf")</f>
        <v>The Polity JumpChain.pdf</v>
      </c>
      <c r="B1171" s="12" t="str">
        <f t="shared" si="189"/>
        <v>DriveAnon's 4chan Drive/2. EVERYONE ELSE'S JUMPS/2. Complete but need image work/Q-V Jumps</v>
      </c>
    </row>
    <row r="1172">
      <c r="A1172" s="12" t="str">
        <f>HYPERLINK("https://drive.google.com/file/d/16gHAfUxeyRVneuEXU75OkxglqzSBfNzB/view?usp=drivesdk","Terra Formars JumpChain.pdf")</f>
        <v>Terra Formars JumpChain.pdf</v>
      </c>
      <c r="B1172" s="12" t="str">
        <f t="shared" si="189"/>
        <v>DriveAnon's 4chan Drive/2. EVERYONE ELSE'S JUMPS/2. Complete but need image work/Q-V Jumps</v>
      </c>
    </row>
    <row r="1173">
      <c r="A1173" s="12" t="str">
        <f>HYPERLINK("https://drive.google.com/file/d/1Ah2v87tSvhemdNHNNCxde155Yo_7AAxS/view?usp=drivesdk","Transmetropolitan.pdf")</f>
        <v>Transmetropolitan.pdf</v>
      </c>
      <c r="B1173" s="12" t="str">
        <f t="shared" si="189"/>
        <v>DriveAnon's 4chan Drive/2. EVERYONE ELSE'S JUMPS/2. Complete but need image work/Q-V Jumps</v>
      </c>
    </row>
    <row r="1174">
      <c r="A1174" s="12" t="str">
        <f>HYPERLINK("https://drive.google.com/file/d/1BR9MfXRVK2nyWGykMi5Ybwqc7MkxG0Ug/view?usp=drivesdk","Sports JumpChain.pdf")</f>
        <v>Sports JumpChain.pdf</v>
      </c>
      <c r="B1174" s="12" t="str">
        <f t="shared" si="189"/>
        <v>DriveAnon's 4chan Drive/2. EVERYONE ELSE'S JUMPS/2. Complete but need image work/Q-V Jumps</v>
      </c>
    </row>
    <row r="1175">
      <c r="A1175" s="12" t="str">
        <f>HYPERLINK("https://drive.google.com/file/d/1En_vvVOeywypr6T7VpxpdkX0xkSDwJsJ/view?usp=drivesdk","Undertale Jumpchain.pdf")</f>
        <v>Undertale Jumpchain.pdf</v>
      </c>
      <c r="B1175" s="12" t="str">
        <f t="shared" si="189"/>
        <v>DriveAnon's 4chan Drive/2. EVERYONE ELSE'S JUMPS/2. Complete but need image work/Q-V Jumps</v>
      </c>
    </row>
    <row r="1176">
      <c r="A1176" s="12" t="str">
        <f>HYPERLINK("https://drive.google.com/file/d/1GsHLkH4fEQdykveCnjqlPVpfQQ5MnaMm/view?usp=drivesdk","Shaman King Kang Zeng Bang JumpChain.pdf")</f>
        <v>Shaman King Kang Zeng Bang JumpChain.pdf</v>
      </c>
      <c r="B1176" s="12" t="str">
        <f t="shared" si="189"/>
        <v>DriveAnon's 4chan Drive/2. EVERYONE ELSE'S JUMPS/2. Complete but need image work/Q-V Jumps</v>
      </c>
    </row>
    <row r="1177">
      <c r="A1177" s="12" t="str">
        <f>HYPERLINK("https://drive.google.com/file/d/1HMbW-T2uIynCymIMtCHY8Dav83AEpbjj/view?usp=drivesdk","s-CRY-ed JumpChain.pdf")</f>
        <v>s-CRY-ed JumpChain.pdf</v>
      </c>
      <c r="B1177" s="12" t="str">
        <f t="shared" si="189"/>
        <v>DriveAnon's 4chan Drive/2. EVERYONE ELSE'S JUMPS/2. Complete but need image work/Q-V Jumps</v>
      </c>
    </row>
    <row r="1178">
      <c r="A1178" s="12" t="str">
        <f>HYPERLINK("https://drive.google.com/file/d/1IOIxs7_CX7nK8pe7Oi3XwhK1Mz2CIUD2/view?usp=drivesdk","The World Ends With You Jumpchain.pdf")</f>
        <v>The World Ends With You Jumpchain.pdf</v>
      </c>
      <c r="B1178" s="12" t="str">
        <f t="shared" si="189"/>
        <v>DriveAnon's 4chan Drive/2. EVERYONE ELSE'S JUMPS/2. Complete but need image work/Q-V Jumps</v>
      </c>
    </row>
    <row r="1179">
      <c r="A1179" s="12" t="str">
        <f>HYPERLINK("https://drive.google.com/file/d/1LfBwyUY9b9RXJZN-XjyvHqRbg1aC1IzX/view?usp=drivesdk","Senran Kagura JumpChain.pdf")</f>
        <v>Senran Kagura JumpChain.pdf</v>
      </c>
      <c r="B1179" s="12" t="str">
        <f t="shared" si="189"/>
        <v>DriveAnon's 4chan Drive/2. EVERYONE ELSE'S JUMPS/2. Complete but need image work/Q-V Jumps</v>
      </c>
    </row>
    <row r="1180">
      <c r="A1180" s="12" t="str">
        <f>HYPERLINK("https://drive.google.com/file/d/1LsyKO-MxKplWC7vQjkdggt6FqGAOU9KD/view?usp=drivesdk","Vampire Diaries JumpChain.pdf")</f>
        <v>Vampire Diaries JumpChain.pdf</v>
      </c>
      <c r="B1180" s="12" t="str">
        <f t="shared" si="189"/>
        <v>DriveAnon's 4chan Drive/2. EVERYONE ELSE'S JUMPS/2. Complete but need image work/Q-V Jumps</v>
      </c>
    </row>
    <row r="1181">
      <c r="A1181" s="12" t="str">
        <f>HYPERLINK("https://drive.google.com/file/d/1MSjUbnaP4G0DwfVFSh78PrJYhvhrTrmV/view?usp=drivesdk","The Gods are Bastards JumpChain.pdf")</f>
        <v>The Gods are Bastards JumpChain.pdf</v>
      </c>
      <c r="B1181" s="12" t="str">
        <f t="shared" si="189"/>
        <v>DriveAnon's 4chan Drive/2. EVERYONE ELSE'S JUMPS/2. Complete but need image work/Q-V Jumps</v>
      </c>
    </row>
    <row r="1182">
      <c r="A1182" s="12" t="str">
        <f>HYPERLINK("https://drive.google.com/file/d/1Olzf8tmNbFHTpdY4EnK4F8VCCOg6I7C1/view?usp=drivesdk","Soon I Will Be Invincible JumpChain.pdf")</f>
        <v>Soon I Will Be Invincible JumpChain.pdf</v>
      </c>
      <c r="B1182" s="12" t="str">
        <f t="shared" si="189"/>
        <v>DriveAnon's 4chan Drive/2. EVERYONE ELSE'S JUMPS/2. Complete but need image work/Q-V Jumps</v>
      </c>
    </row>
    <row r="1183">
      <c r="A1183" s="12" t="str">
        <f>HYPERLINK("https://drive.google.com/file/d/1OwgOd0ImsgXR9ZPP_LoPOKlsiGJNCLGU/view?usp=drivesdk","The Fast and the Furious Jumpchain.pdf")</f>
        <v>The Fast and the Furious Jumpchain.pdf</v>
      </c>
      <c r="B1183" s="12" t="str">
        <f t="shared" si="189"/>
        <v>DriveAnon's 4chan Drive/2. EVERYONE ELSE'S JUMPS/2. Complete but need image work/Q-V Jumps</v>
      </c>
    </row>
    <row r="1184">
      <c r="A1184" s="12" t="str">
        <f>HYPERLINK("https://drive.google.com/file/d/1QAe5vabft-kjIfnIjxtlYe3pDpAPu3mY/view?usp=drivesdk","Sunrider Jumpchain.pdf")</f>
        <v>Sunrider Jumpchain.pdf</v>
      </c>
      <c r="B1184" s="12" t="str">
        <f t="shared" si="189"/>
        <v>DriveAnon's 4chan Drive/2. EVERYONE ELSE'S JUMPS/2. Complete but need image work/Q-V Jumps</v>
      </c>
    </row>
    <row r="1185">
      <c r="A1185" s="12" t="str">
        <f>HYPERLINK("https://drive.google.com/file/d/1UAaCyA_ngRsufkr7bqX1VnMwa54Jwyfi/view?usp=drivesdk","Torchlight JumpChain.pdf")</f>
        <v>Torchlight JumpChain.pdf</v>
      </c>
      <c r="B1185" s="12" t="str">
        <f t="shared" si="189"/>
        <v>DriveAnon's 4chan Drive/2. EVERYONE ELSE'S JUMPS/2. Complete but need image work/Q-V Jumps</v>
      </c>
    </row>
    <row r="1186">
      <c r="A1186" s="12" t="str">
        <f>HYPERLINK("https://drive.google.com/file/d/1VI_-Vsz32H-Kn-JkZJE-uIZdBHHQ-AGP/view?usp=drivesdk","Tower of God JumpChain.pdf")</f>
        <v>Tower of God JumpChain.pdf</v>
      </c>
      <c r="B1186" s="12" t="str">
        <f t="shared" si="189"/>
        <v>DriveAnon's 4chan Drive/2. EVERYONE ELSE'S JUMPS/2. Complete but need image work/Q-V Jumps</v>
      </c>
    </row>
    <row r="1187">
      <c r="A1187" s="12" t="str">
        <f>HYPERLINK("https://drive.google.com/file/d/1V_RGB34a_YuT_c9HipCYj_fXTHTR4kPI/view?usp=drivesdk","Symphogear JumpChain.pdf")</f>
        <v>Symphogear JumpChain.pdf</v>
      </c>
      <c r="B1187" s="12" t="str">
        <f t="shared" si="189"/>
        <v>DriveAnon's 4chan Drive/2. EVERYONE ELSE'S JUMPS/2. Complete but need image work/Q-V Jumps</v>
      </c>
    </row>
    <row r="1188">
      <c r="A1188" s="12" t="str">
        <f>HYPERLINK("https://drive.google.com/file/d/1Xg4hOiWz_hVm04ZvKdsTkEKRLiRoAcUw/view?usp=drivesdk","Trigun JumpChain.pdf")</f>
        <v>Trigun JumpChain.pdf</v>
      </c>
      <c r="B1188" s="12" t="str">
        <f t="shared" si="189"/>
        <v>DriveAnon's 4chan Drive/2. EVERYONE ELSE'S JUMPS/2. Complete but need image work/Q-V Jumps</v>
      </c>
    </row>
    <row r="1189">
      <c r="A1189" s="12" t="str">
        <f>HYPERLINK("https://drive.google.com/file/d/1_-i81dwkDc9nBSAgJUi_Nh_QmuUBH-ru/view?usp=drivesdk","Saya no Uta JumpChain.pdf")</f>
        <v>Saya no Uta JumpChain.pdf</v>
      </c>
      <c r="B1189" s="12" t="str">
        <f t="shared" si="189"/>
        <v>DriveAnon's 4chan Drive/2. EVERYONE ELSE'S JUMPS/2. Complete but need image work/Q-V Jumps</v>
      </c>
    </row>
    <row r="1190">
      <c r="A1190" s="12" t="str">
        <f>HYPERLINK("https://drive.google.com/file/d/1ahR6EQJ_3Vx4QKDgx1Gr9Ub4qKd_OwWR/view?usp=drivesdk","Sengoku Basara JumpChain.pdf")</f>
        <v>Sengoku Basara JumpChain.pdf</v>
      </c>
      <c r="B1190" s="12" t="str">
        <f t="shared" si="189"/>
        <v>DriveAnon's 4chan Drive/2. EVERYONE ELSE'S JUMPS/2. Complete but need image work/Q-V Jumps</v>
      </c>
    </row>
    <row r="1191">
      <c r="A1191" s="12" t="str">
        <f>HYPERLINK("https://drive.google.com/file/d/1cgJZFmiOFwGYKF8iEwMtjmGzTy4L-JYM/view?usp=drivesdk","Steven Universe Jumpchain.pdf")</f>
        <v>Steven Universe Jumpchain.pdf</v>
      </c>
      <c r="B1191" s="12" t="str">
        <f t="shared" si="189"/>
        <v>DriveAnon's 4chan Drive/2. EVERYONE ELSE'S JUMPS/2. Complete but need image work/Q-V Jumps</v>
      </c>
    </row>
    <row r="1192">
      <c r="A1192" s="12" t="str">
        <f>HYPERLINK("https://drive.google.com/file/d/1eYV0cw7KOa-LyjMPKugVqtppkDgMXRQO/view?usp=drivesdk","Restaurant To Another World JumpChain.pdf")</f>
        <v>Restaurant To Another World JumpChain.pdf</v>
      </c>
      <c r="B1192" s="12" t="str">
        <f t="shared" si="189"/>
        <v>DriveAnon's 4chan Drive/2. EVERYONE ELSE'S JUMPS/2. Complete but need image work/Q-V Jumps</v>
      </c>
    </row>
    <row r="1193">
      <c r="A1193" s="12" t="str">
        <f>HYPERLINK("https://drive.google.com/file/d/1gU29BrabdW0_loELQjbsu-HRSpE14eBB/view?usp=drivesdk","Street Sharks Jumpchain.pdf")</f>
        <v>Street Sharks Jumpchain.pdf</v>
      </c>
      <c r="B1193" s="12" t="str">
        <f t="shared" si="189"/>
        <v>DriveAnon's 4chan Drive/2. EVERYONE ELSE'S JUMPS/2. Complete but need image work/Q-V Jumps</v>
      </c>
    </row>
    <row r="1194">
      <c r="A1194" s="12" t="str">
        <f>HYPERLINK("https://drive.google.com/file/d/1hmz5ib0Z5lUGi7xvJFj7EdLhA8zq2uBI/view?usp=drivesdk","Splatoon JumpChain.pdf")</f>
        <v>Splatoon JumpChain.pdf</v>
      </c>
      <c r="B1194" s="12" t="str">
        <f t="shared" si="189"/>
        <v>DriveAnon's 4chan Drive/2. EVERYONE ELSE'S JUMPS/2. Complete but need image work/Q-V Jumps</v>
      </c>
    </row>
    <row r="1195">
      <c r="A1195" s="12" t="str">
        <f>HYPERLINK("https://drive.google.com/file/d/1in0xRJ3OcxwsCsT9TmEUZWJqmLHF_J-l/view?usp=drivesdk","Veritas JumpChain.pdf")</f>
        <v>Veritas JumpChain.pdf</v>
      </c>
      <c r="B1195" s="12" t="str">
        <f t="shared" si="189"/>
        <v>DriveAnon's 4chan Drive/2. EVERYONE ELSE'S JUMPS/2. Complete but need image work/Q-V Jumps</v>
      </c>
    </row>
    <row r="1196">
      <c r="A1196" s="12" t="str">
        <f>HYPERLINK("https://drive.google.com/file/d/1jUY-9DqdmMFCvLnS33k89kNlGVAjK29A/view?usp=drivesdk","Supergod JumpChain.pdf")</f>
        <v>Supergod JumpChain.pdf</v>
      </c>
      <c r="B1196" s="12" t="str">
        <f t="shared" si="189"/>
        <v>DriveAnon's 4chan Drive/2. EVERYONE ELSE'S JUMPS/2. Complete but need image work/Q-V Jumps</v>
      </c>
    </row>
    <row r="1197">
      <c r="A1197" s="12" t="str">
        <f>HYPERLINK("https://drive.google.com/file/d/1m8IgiYTUrG9vHCSFPUvT9P24VT28Do86/view?usp=drivesdk","Santa JumpChain.pdf")</f>
        <v>Santa JumpChain.pdf</v>
      </c>
      <c r="B1197" s="12" t="str">
        <f t="shared" si="189"/>
        <v>DriveAnon's 4chan Drive/2. EVERYONE ELSE'S JUMPS/2. Complete but need image work/Q-V Jumps</v>
      </c>
    </row>
    <row r="1198">
      <c r="A1198" s="12" t="str">
        <f>HYPERLINK("https://drive.google.com/file/d/1nGASOXy03egJ9x9MSB2-Q6diwECudtzZ/view?usp=drivesdk","Seven Deadly Sins JumpChain.pdf")</f>
        <v>Seven Deadly Sins JumpChain.pdf</v>
      </c>
      <c r="B1198" s="12" t="str">
        <f t="shared" si="189"/>
        <v>DriveAnon's 4chan Drive/2. EVERYONE ELSE'S JUMPS/2. Complete but need image work/Q-V Jumps</v>
      </c>
    </row>
    <row r="1199">
      <c r="A1199" s="12" t="str">
        <f>HYPERLINK("https://drive.google.com/file/d/1p4J4BgxurwjcTk5B7yMUNf3N-fnt75SJ/view?usp=drivesdk","Sekirei JumpChain.pdf")</f>
        <v>Sekirei JumpChain.pdf</v>
      </c>
      <c r="B1199" s="12" t="str">
        <f t="shared" si="189"/>
        <v>DriveAnon's 4chan Drive/2. EVERYONE ELSE'S JUMPS/2. Complete but need image work/Q-V Jumps</v>
      </c>
    </row>
    <row r="1200">
      <c r="A1200" s="12" t="str">
        <f>HYPERLINK("https://drive.google.com/file/d/1qQxNkAlg0dnlUY8WaoMX0AkGn34I_Wg7/view?usp=drivesdk","Street Fighter JumpChain.pdf")</f>
        <v>Street Fighter JumpChain.pdf</v>
      </c>
      <c r="B1200" s="12" t="str">
        <f t="shared" si="189"/>
        <v>DriveAnon's 4chan Drive/2. EVERYONE ELSE'S JUMPS/2. Complete but need image work/Q-V Jumps</v>
      </c>
    </row>
    <row r="1201">
      <c r="A1201" s="12" t="str">
        <f>HYPERLINK("https://drive.google.com/file/d/1t4UJWy0a5OP1tsLXSenjLj6Xh2XMmD9W/view?usp=drivesdk","Unholy Heights JumpChain.pdf")</f>
        <v>Unholy Heights JumpChain.pdf</v>
      </c>
      <c r="B1201" s="12" t="str">
        <f t="shared" si="189"/>
        <v>DriveAnon's 4chan Drive/2. EVERYONE ELSE'S JUMPS/2. Complete but need image work/Q-V Jumps</v>
      </c>
    </row>
    <row r="1202">
      <c r="A1202" s="12" t="str">
        <f>HYPERLINK("https://drive.google.com/file/d/1tr0QI9RHdnrN4MwPCtOzgYBO6LR1Hvbp/view?usp=drivesdk","Sky High JumpChain.pdf")</f>
        <v>Sky High JumpChain.pdf</v>
      </c>
      <c r="B1202" s="12" t="str">
        <f t="shared" si="189"/>
        <v>DriveAnon's 4chan Drive/2. EVERYONE ELSE'S JUMPS/2. Complete but need image work/Q-V Jumps</v>
      </c>
    </row>
    <row r="1203">
      <c r="A1203" s="12" t="str">
        <f>HYPERLINK("https://drive.google.com/file/d/1vNeRmZ4VFybXVv01QXahUPr5APGizxVO/view?usp=drivesdk","Railroads! JumpChain.pdf")</f>
        <v>Railroads! JumpChain.pdf</v>
      </c>
      <c r="B1203" s="12" t="str">
        <f t="shared" si="189"/>
        <v>DriveAnon's 4chan Drive/2. EVERYONE ELSE'S JUMPS/2. Complete but need image work/Q-V Jumps</v>
      </c>
    </row>
    <row r="1204">
      <c r="A1204" s="12" t="str">
        <f>HYPERLINK("https://drive.google.com/file/d/1vmj8iOTLAI6EfS917_4eJ6GK5UuXUf40/view?usp=drivesdk","Small Soldiers JumpChain.pdf")</f>
        <v>Small Soldiers JumpChain.pdf</v>
      </c>
      <c r="B1204" s="12" t="str">
        <f t="shared" si="189"/>
        <v>DriveAnon's 4chan Drive/2. EVERYONE ELSE'S JUMPS/2. Complete but need image work/Q-V Jumps</v>
      </c>
    </row>
    <row r="1205">
      <c r="A1205" s="12" t="str">
        <f>HYPERLINK("https://drive.google.com/file/d/1x9d9knFG040Eh3XRz0cApsHs5nY95zcM/view?usp=drivesdk","Tenchi Muyo! JumpChain.pdf")</f>
        <v>Tenchi Muyo! JumpChain.pdf</v>
      </c>
      <c r="B1205" s="12" t="str">
        <f t="shared" si="189"/>
        <v>DriveAnon's 4chan Drive/2. EVERYONE ELSE'S JUMPS/2. Complete but need image work/Q-V Jumps</v>
      </c>
    </row>
    <row r="1206">
      <c r="A1206" s="12" t="str">
        <f>HYPERLINK("https://drive.google.com/file/d/1xWob_EQOY878a9zNzD6Ds9DUGBLKClTJ/view?usp=drivesdk","Vandread JumpChain.pdf")</f>
        <v>Vandread JumpChain.pdf</v>
      </c>
      <c r="B1206" s="12" t="str">
        <f t="shared" si="189"/>
        <v>DriveAnon's 4chan Drive/2. EVERYONE ELSE'S JUMPS/2. Complete but need image work/Q-V Jumps</v>
      </c>
    </row>
    <row r="1207">
      <c r="A1207" s="12" t="str">
        <f>HYPERLINK("https://drive.google.com/file/d/1zK5RiymBquKfSA6b24CI3g2-BZy_F-4o/view?usp=drivesdk","SHADOWRUN Jumpchain.pdf")</f>
        <v>SHADOWRUN Jumpchain.pdf</v>
      </c>
      <c r="B1207" s="12" t="str">
        <f t="shared" si="189"/>
        <v>DriveAnon's 4chan Drive/2. EVERYONE ELSE'S JUMPS/2. Complete but need image work/Q-V Jumps</v>
      </c>
    </row>
    <row r="1208">
      <c r="A1208" s="12" t="str">
        <f>HYPERLINK("https://drive.google.com/file/d/11IHtROfNKXwRns2GKQwJ6sn0LpTaN-jm/view?usp=drivesdk","The Mysterious Cities of Gold Jumpchain.pdf")</f>
        <v>The Mysterious Cities of Gold Jumpchain.pdf</v>
      </c>
      <c r="B1208" s="12" t="str">
        <f t="shared" si="189"/>
        <v>DriveAnon's 4chan Drive/2. EVERYONE ELSE'S JUMPS/2. Complete but need image work/Q-V Jumps</v>
      </c>
    </row>
    <row r="1209">
      <c r="A1209" s="12" t="str">
        <f>HYPERLINK("https://drive.google.com/file/d/13qu6TinqFaF3qYb9NL_7fmn4MKAxcORX/view?usp=drivesdk","The Wonderful 101 JumpChain.pdf")</f>
        <v>The Wonderful 101 JumpChain.pdf</v>
      </c>
      <c r="B1209" s="12" t="str">
        <f t="shared" si="189"/>
        <v>DriveAnon's 4chan Drive/2. EVERYONE ELSE'S JUMPS/2. Complete but need image work/Q-V Jumps</v>
      </c>
    </row>
    <row r="1210">
      <c r="A1210" s="12" t="str">
        <f>HYPERLINK("https://drive.google.com/file/d/14c_IzhK-W83IVkyoMA12Pw_O4QWqZxoF/view?usp=drivesdk","The Witcher JumpChain.pdf")</f>
        <v>The Witcher JumpChain.pdf</v>
      </c>
      <c r="B1210" s="12" t="str">
        <f t="shared" si="189"/>
        <v>DriveAnon's 4chan Drive/2. EVERYONE ELSE'S JUMPS/2. Complete but need image work/Q-V Jumps</v>
      </c>
    </row>
    <row r="1211">
      <c r="A1211" s="12" t="str">
        <f>HYPERLINK("https://drive.google.com/file/d/16ysc4w0DaxeiH_ufG_pPLlvXRsJ9GGyI/view?usp=drivesdk","Shiftylook Bravoman JumpChain.pdf")</f>
        <v>Shiftylook Bravoman JumpChain.pdf</v>
      </c>
      <c r="B1211" s="12" t="str">
        <f t="shared" si="189"/>
        <v>DriveAnon's 4chan Drive/2. EVERYONE ELSE'S JUMPS/2. Complete but need image work/Q-V Jumps</v>
      </c>
    </row>
    <row r="1212">
      <c r="A1212" s="12" t="str">
        <f>HYPERLINK("https://drive.google.com/file/d/18aeDXlzPRsU4kemr-aBZji_XeBtCZTgk/view?usp=drivesdk","Speaker for the Dead Jump JumpChain.pdf")</f>
        <v>Speaker for the Dead Jump JumpChain.pdf</v>
      </c>
      <c r="B1212" s="12" t="str">
        <f t="shared" si="189"/>
        <v>DriveAnon's 4chan Drive/2. EVERYONE ELSE'S JUMPS/2. Complete but need image work/Q-V Jumps</v>
      </c>
    </row>
    <row r="1213">
      <c r="A1213" s="12" t="str">
        <f>HYPERLINK("https://drive.google.com/file/d/1TIRY1lTRMuIarT6S8ei1lyI5xfdyteoO/view?usp=drivesdk","Shadow of the Colossus JumpChain.pdf")</f>
        <v>Shadow of the Colossus JumpChain.pdf</v>
      </c>
      <c r="B1213" s="12" t="str">
        <f t="shared" si="189"/>
        <v>DriveAnon's 4chan Drive/2. EVERYONE ELSE'S JUMPS/2. Complete but need image work/Q-V Jumps</v>
      </c>
    </row>
    <row r="1214">
      <c r="A1214" s="12" t="str">
        <f>HYPERLINK("https://drive.google.com/file/d/1_pT4hGaXvoPbo_xHEucEHdUSAnH5I8NT/view?usp=drivesdk","Sonichu JumpChain.pdf")</f>
        <v>Sonichu JumpChain.pdf</v>
      </c>
      <c r="B1214" s="12" t="str">
        <f t="shared" si="189"/>
        <v>DriveAnon's 4chan Drive/2. EVERYONE ELSE'S JUMPS/2. Complete but need image work/Q-V Jumps</v>
      </c>
    </row>
    <row r="1215">
      <c r="A1215" s="12" t="str">
        <f>HYPERLINK("https://drive.google.com/file/d/1igVdGJ7rWk8LWCWEzwKZAwb-g1WjeShF/view?usp=drivesdk","Re Creators JumpChain.pdf")</f>
        <v>Re Creators JumpChain.pdf</v>
      </c>
      <c r="B1215" s="12" t="str">
        <f t="shared" si="189"/>
        <v>DriveAnon's 4chan Drive/2. EVERYONE ELSE'S JUMPS/2. Complete but need image work/Q-V Jumps</v>
      </c>
    </row>
    <row r="1216">
      <c r="A1216" s="12" t="str">
        <f>HYPERLINK("https://drive.google.com/file/d/1l-EWDgzuxR89mu0qmwnCBt7TC-ouViQP/view?usp=drivesdk","Slime Rancher Jumpchain.pdf")</f>
        <v>Slime Rancher Jumpchain.pdf</v>
      </c>
      <c r="B1216" s="12" t="str">
        <f t="shared" si="189"/>
        <v>DriveAnon's 4chan Drive/2. EVERYONE ELSE'S JUMPS/2. Complete but need image work/Q-V Jumps</v>
      </c>
    </row>
    <row r="1217">
      <c r="A1217" s="12" t="str">
        <f>HYPERLINK("https://drive.google.com/file/d/1mbj24_4HRL2RxvNqCs7750kO-y8f61my/view?usp=drivesdk","Shelter JumpChain.pdf")</f>
        <v>Shelter JumpChain.pdf</v>
      </c>
      <c r="B1217" s="12" t="str">
        <f t="shared" si="189"/>
        <v>DriveAnon's 4chan Drive/2. EVERYONE ELSE'S JUMPS/2. Complete but need image work/Q-V Jumps</v>
      </c>
    </row>
    <row r="1218">
      <c r="A1218" s="12" t="str">
        <f>HYPERLINK("https://drive.google.com/file/d/1qsxWA6TLkVtSUI2MpoxLuwWPNom44yde/view?usp=drivesdk","TWGOK JumpChain.pdf")</f>
        <v>TWGOK JumpChain.pdf</v>
      </c>
      <c r="B1218" s="12" t="str">
        <f t="shared" si="189"/>
        <v>DriveAnon's 4chan Drive/2. EVERYONE ELSE'S JUMPS/2. Complete but need image work/Q-V Jumps</v>
      </c>
    </row>
    <row r="1219">
      <c r="A1219" s="12" t="str">
        <f>HYPERLINK("https://drive.google.com/file/d/1-7Vav-8YqwM1aTZQRHDLOoEIHF8r8bKt/view?usp=drivesdk","Tomb Raider JumpChain.pdf")</f>
        <v>Tomb Raider JumpChain.pdf</v>
      </c>
      <c r="B1219" s="12" t="str">
        <f t="shared" si="189"/>
        <v>DriveAnon's 4chan Drive/2. EVERYONE ELSE'S JUMPS/2. Complete but need image work/Q-V Jumps</v>
      </c>
    </row>
    <row r="1220">
      <c r="A1220" s="12" t="str">
        <f>HYPERLINK("https://drive.google.com/file/d/10e4v1BvgkvZtcZ5haT19tuM8Is-NBXHj/view?usp=drivesdk","Totally Spies Martin Mystery JumpChain.pdf")</f>
        <v>Totally Spies Martin Mystery JumpChain.pdf</v>
      </c>
      <c r="B1220" s="12" t="str">
        <f t="shared" si="189"/>
        <v>DriveAnon's 4chan Drive/2. EVERYONE ELSE'S JUMPS/2. Complete but need image work/Q-V Jumps</v>
      </c>
    </row>
    <row r="1221">
      <c r="A1221" s="12" t="str">
        <f>HYPERLINK("https://drive.google.com/file/d/12aWPzC5a_ZWHd37QUX8GQTmBkP69vtFD/view?usp=drivesdk","Shovel Knight JumpChain.pdf")</f>
        <v>Shovel Knight JumpChain.pdf</v>
      </c>
      <c r="B1221" s="12" t="str">
        <f t="shared" si="189"/>
        <v>DriveAnon's 4chan Drive/2. EVERYONE ELSE'S JUMPS/2. Complete but need image work/Q-V Jumps</v>
      </c>
    </row>
    <row r="1222">
      <c r="A1222" s="12" t="str">
        <f>HYPERLINK("https://drive.google.com/file/d/143MNKZOPhyu9DGOn2Rwrg79T6KaWZ3FT/view?usp=drivesdk","Secret of Evermore JumpChain.pdf")</f>
        <v>Secret of Evermore JumpChain.pdf</v>
      </c>
      <c r="B1222" s="12" t="str">
        <f t="shared" si="189"/>
        <v>DriveAnon's 4chan Drive/2. EVERYONE ELSE'S JUMPS/2. Complete but need image work/Q-V Jumps</v>
      </c>
    </row>
    <row r="1223">
      <c r="A1223" s="12" t="str">
        <f>HYPERLINK("https://drive.google.com/file/d/15TrDFKwLmVRheHwgqhn1bCKl9y55bRAP/view?usp=drivesdk","The Road to El Dorado JumpChain.pdf")</f>
        <v>The Road to El Dorado JumpChain.pdf</v>
      </c>
      <c r="B1223" s="12" t="str">
        <f t="shared" si="189"/>
        <v>DriveAnon's 4chan Drive/2. EVERYONE ELSE'S JUMPS/2. Complete but need image work/Q-V Jumps</v>
      </c>
    </row>
    <row r="1224">
      <c r="A1224" s="12" t="str">
        <f>HYPERLINK("https://drive.google.com/file/d/15y_ZUogauJpRm24NOfCh4EczzFYii9XD/view?usp=drivesdk","Tales of Demons and Gods JumpChain.pdf")</f>
        <v>Tales of Demons and Gods JumpChain.pdf</v>
      </c>
      <c r="B1224" s="12" t="str">
        <f t="shared" si="189"/>
        <v>DriveAnon's 4chan Drive/2. EVERYONE ELSE'S JUMPS/2. Complete but need image work/Q-V Jumps</v>
      </c>
    </row>
    <row r="1225">
      <c r="A1225" s="12" t="str">
        <f>HYPERLINK("https://drive.google.com/file/d/16jPA1DAu3BDk3abgQdhRjZ8nKlJ_ASRC/view?usp=drivesdk","Sins of a Solar Empire JumpChain.pdf")</f>
        <v>Sins of a Solar Empire JumpChain.pdf</v>
      </c>
      <c r="B1225" s="12" t="str">
        <f t="shared" si="189"/>
        <v>DriveAnon's 4chan Drive/2. EVERYONE ELSE'S JUMPS/2. Complete but need image work/Q-V Jumps</v>
      </c>
    </row>
    <row r="1226">
      <c r="A1226" s="12" t="str">
        <f>HYPERLINK("https://drive.google.com/file/d/17bErXsNSzdIZ0T_xVxPWmdCMSxMgRQ18/view?usp=drivesdk","Slice of Life Jumpchain.pdf")</f>
        <v>Slice of Life Jumpchain.pdf</v>
      </c>
      <c r="B1226" s="12" t="str">
        <f t="shared" si="189"/>
        <v>DriveAnon's 4chan Drive/2. EVERYONE ELSE'S JUMPS/2. Complete but need image work/Q-V Jumps</v>
      </c>
    </row>
    <row r="1227">
      <c r="A1227" s="12" t="str">
        <f>HYPERLINK("https://drive.google.com/file/d/18JAetOIOGU4t8mYu89GalxySQVnT8fpz/view?usp=drivesdk","Red Dead Redemption Undead Nightmare JumpChain.pdf")</f>
        <v>Red Dead Redemption Undead Nightmare JumpChain.pdf</v>
      </c>
      <c r="B1227" s="12" t="str">
        <f t="shared" si="189"/>
        <v>DriveAnon's 4chan Drive/2. EVERYONE ELSE'S JUMPS/2. Complete but need image work/Q-V Jumps</v>
      </c>
    </row>
    <row r="1228">
      <c r="A1228" s="12" t="str">
        <f>HYPERLINK("https://drive.google.com/file/d/1919H30u2YoPZIuB6f6gGvxo0GHZWNF3w/view?usp=drivesdk","Tokyo Ghoul Jumpchain.pdf")</f>
        <v>Tokyo Ghoul Jumpchain.pdf</v>
      </c>
      <c r="B1228" s="12" t="str">
        <f t="shared" si="189"/>
        <v>DriveAnon's 4chan Drive/2. EVERYONE ELSE'S JUMPS/2. Complete but need image work/Q-V Jumps</v>
      </c>
    </row>
    <row r="1229">
      <c r="A1229" s="12" t="str">
        <f>HYPERLINK("https://drive.google.com/file/d/1BTb7PGeqL43qJWW1JTzi9fmBFvjZdgZx/view?usp=drivesdk","Thing-Thing JumpChain.pdf")</f>
        <v>Thing-Thing JumpChain.pdf</v>
      </c>
      <c r="B1229" s="12" t="str">
        <f t="shared" si="189"/>
        <v>DriveAnon's 4chan Drive/2. EVERYONE ELSE'S JUMPS/2. Complete but need image work/Q-V Jumps</v>
      </c>
    </row>
    <row r="1230">
      <c r="A1230" s="12" t="str">
        <f>HYPERLINK("https://drive.google.com/file/d/1CJq7TV1NQcFkpXGZRow6SLSByhtspla_/view?usp=drivesdk","Shadow Ops JumpChain.pdf")</f>
        <v>Shadow Ops JumpChain.pdf</v>
      </c>
      <c r="B1230" s="12" t="str">
        <f t="shared" si="189"/>
        <v>DriveAnon's 4chan Drive/2. EVERYONE ELSE'S JUMPS/2. Complete but need image work/Q-V Jumps</v>
      </c>
    </row>
    <row r="1231">
      <c r="A1231" s="12" t="str">
        <f>HYPERLINK("https://drive.google.com/file/d/1ClS0kVVSx0WhHh2hmhNfkZc963UtDZhc/view?usp=drivesdk","SBURB JumpChain.pdf")</f>
        <v>SBURB JumpChain.pdf</v>
      </c>
      <c r="B1231" s="12" t="str">
        <f t="shared" si="189"/>
        <v>DriveAnon's 4chan Drive/2. EVERYONE ELSE'S JUMPS/2. Complete but need image work/Q-V Jumps</v>
      </c>
    </row>
    <row r="1232">
      <c r="A1232" s="12" t="str">
        <f>HYPERLINK("https://drive.google.com/file/d/1DGm91Y0LEcal2zVcTKnKtdPAe4BtgdXX/view?usp=drivesdk","Space Pirate Captain Harlock Jumpchain.pdf")</f>
        <v>Space Pirate Captain Harlock Jumpchain.pdf</v>
      </c>
      <c r="B1232" s="12" t="str">
        <f t="shared" si="189"/>
        <v>DriveAnon's 4chan Drive/2. EVERYONE ELSE'S JUMPS/2. Complete but need image work/Q-V Jumps</v>
      </c>
    </row>
    <row r="1233">
      <c r="A1233" s="12" t="str">
        <f>HYPERLINK("https://drive.google.com/file/d/1DMR2QcpG2p0kQYKyKYjFQyQv-tNUqjVT/view?usp=drivesdk","Shrek JumpChain.pdf")</f>
        <v>Shrek JumpChain.pdf</v>
      </c>
      <c r="B1233" s="12" t="str">
        <f t="shared" si="189"/>
        <v>DriveAnon's 4chan Drive/2. EVERYONE ELSE'S JUMPS/2. Complete but need image work/Q-V Jumps</v>
      </c>
    </row>
    <row r="1234">
      <c r="A1234" s="12" t="str">
        <f>HYPERLINK("https://drive.google.com/file/d/1DbAJZ7dlvueJrRIt3GrkmfXgWmef8DOy/view?usp=drivesdk","TOME JumpChain.pdf")</f>
        <v>TOME JumpChain.pdf</v>
      </c>
      <c r="B1234" s="12" t="str">
        <f t="shared" si="189"/>
        <v>DriveAnon's 4chan Drive/2. EVERYONE ELSE'S JUMPS/2. Complete but need image work/Q-V Jumps</v>
      </c>
    </row>
    <row r="1235">
      <c r="A1235" s="12" t="str">
        <f>HYPERLINK("https://drive.google.com/file/d/1DnTCUEKm8zQfF_Ju7yqBrS77thJ5F1cm/view?usp=drivesdk","The Gamer JumpChain.pdf")</f>
        <v>The Gamer JumpChain.pdf</v>
      </c>
      <c r="B1235" s="12" t="str">
        <f t="shared" si="189"/>
        <v>DriveAnon's 4chan Drive/2. EVERYONE ELSE'S JUMPS/2. Complete but need image work/Q-V Jumps</v>
      </c>
    </row>
    <row r="1236">
      <c r="A1236" s="12" t="str">
        <f>HYPERLINK("https://drive.google.com/file/d/1EY7AkBdN9eqW1bOZyGd4ijcW5qaBJdZf/view?usp=drivesdk","The Grim Adventures Of Billy and Mandy JumpChain.pdf")</f>
        <v>The Grim Adventures Of Billy and Mandy JumpChain.pdf</v>
      </c>
      <c r="B1236" s="12" t="str">
        <f t="shared" si="189"/>
        <v>DriveAnon's 4chan Drive/2. EVERYONE ELSE'S JUMPS/2. Complete but need image work/Q-V Jumps</v>
      </c>
    </row>
    <row r="1237">
      <c r="A1237" s="12" t="str">
        <f>HYPERLINK("https://drive.google.com/file/d/1ExKYUXuOGoysuVeR4DYvq5mQeO53IHz2/view?usp=drivesdk","SimAnt JumpChain.pdf")</f>
        <v>SimAnt JumpChain.pdf</v>
      </c>
      <c r="B1237" s="12" t="str">
        <f t="shared" si="189"/>
        <v>DriveAnon's 4chan Drive/2. EVERYONE ELSE'S JUMPS/2. Complete but need image work/Q-V Jumps</v>
      </c>
    </row>
    <row r="1238">
      <c r="A1238" s="12" t="str">
        <f>HYPERLINK("https://drive.google.com/file/d/1GvuAJgQ3PkoYPTvu7UNJ0UxLxKuRtG0t/view?usp=drivesdk","Smite Jumpchain.pdf")</f>
        <v>Smite Jumpchain.pdf</v>
      </c>
      <c r="B1238" s="12" t="str">
        <f t="shared" si="189"/>
        <v>DriveAnon's 4chan Drive/2. EVERYONE ELSE'S JUMPS/2. Complete but need image work/Q-V Jumps</v>
      </c>
    </row>
    <row r="1239">
      <c r="A1239" s="12" t="str">
        <f>HYPERLINK("https://drive.google.com/file/d/1HgU-wHQdpK5GrBZDszWswSuyAMvRpDZv/view?usp=drivesdk","The Fifth Element Jumpchain.pdf")</f>
        <v>The Fifth Element Jumpchain.pdf</v>
      </c>
      <c r="B1239" s="12" t="str">
        <f t="shared" si="189"/>
        <v>DriveAnon's 4chan Drive/2. EVERYONE ELSE'S JUMPS/2. Complete but need image work/Q-V Jumps</v>
      </c>
    </row>
    <row r="1240">
      <c r="A1240" s="12" t="str">
        <f>HYPERLINK("https://drive.google.com/file/d/1K9Iz8-OXMygtY7ZfAMd-XzeC7SPt6Zc-/view?usp=drivesdk","Toriko JumpChain.pdf")</f>
        <v>Toriko JumpChain.pdf</v>
      </c>
      <c r="B1240" s="12" t="str">
        <f t="shared" si="189"/>
        <v>DriveAnon's 4chan Drive/2. EVERYONE ELSE'S JUMPS/2. Complete but need image work/Q-V Jumps</v>
      </c>
    </row>
    <row r="1241">
      <c r="A1241" s="12" t="str">
        <f>HYPERLINK("https://drive.google.com/file/d/1Kxdc24KDTYBYtTS_0TXXmydAY0YCw9Ah/view?usp=drivesdk","Rollercoaster Tycoon JumpChain.pdf")</f>
        <v>Rollercoaster Tycoon JumpChain.pdf</v>
      </c>
      <c r="B1241" s="12" t="str">
        <f t="shared" si="189"/>
        <v>DriveAnon's 4chan Drive/2. EVERYONE ELSE'S JUMPS/2. Complete but need image work/Q-V Jumps</v>
      </c>
    </row>
    <row r="1242">
      <c r="A1242" s="12" t="str">
        <f>HYPERLINK("https://drive.google.com/file/d/1LWd5Km8U2KWvseA1G4Lt6y5l3O4dvdu6/view?usp=drivesdk","Rome (TV Series) JumpChain.pdf")</f>
        <v>Rome (TV Series) JumpChain.pdf</v>
      </c>
      <c r="B1242" s="12" t="str">
        <f t="shared" si="189"/>
        <v>DriveAnon's 4chan Drive/2. EVERYONE ELSE'S JUMPS/2. Complete but need image work/Q-V Jumps</v>
      </c>
    </row>
    <row r="1243">
      <c r="A1243" s="12" t="str">
        <f>HYPERLINK("https://drive.google.com/file/d/1NDzZbfBsU_R69lyRmpy3-h88k8JlwtdM/view?usp=drivesdk","VALKYRIA CHRONICLES JumpChain.pdf")</f>
        <v>VALKYRIA CHRONICLES JumpChain.pdf</v>
      </c>
      <c r="B1243" s="12" t="str">
        <f t="shared" si="189"/>
        <v>DriveAnon's 4chan Drive/2. EVERYONE ELSE'S JUMPS/2. Complete but need image work/Q-V Jumps</v>
      </c>
    </row>
    <row r="1244">
      <c r="A1244" s="12" t="str">
        <f>HYPERLINK("https://drive.google.com/file/d/1NR0smJUyhe0nLEMF1_h5BC_M_Qswfity/view?usp=drivesdk","Revelation Space JumpChain.pdf")</f>
        <v>Revelation Space JumpChain.pdf</v>
      </c>
      <c r="B1244" s="12" t="str">
        <f t="shared" si="189"/>
        <v>DriveAnon's 4chan Drive/2. EVERYONE ELSE'S JUMPS/2. Complete but need image work/Q-V Jumps</v>
      </c>
    </row>
    <row r="1245">
      <c r="A1245" s="12" t="str">
        <f>HYPERLINK("https://drive.google.com/file/d/1PHHcNUOM88r85_rfIVBWwMCvLJMXSqKw/view?usp=drivesdk","Skulduggery Pleasant JumpChain.pdf")</f>
        <v>Skulduggery Pleasant JumpChain.pdf</v>
      </c>
      <c r="B1245" s="12" t="str">
        <f t="shared" si="189"/>
        <v>DriveAnon's 4chan Drive/2. EVERYONE ELSE'S JUMPS/2. Complete but need image work/Q-V Jumps</v>
      </c>
    </row>
    <row r="1246">
      <c r="A1246" s="12" t="str">
        <f>HYPERLINK("https://drive.google.com/file/d/1Q7KRKvmo1K-mlqysDk_o1MTPpkslCLCZ/view?usp=drivesdk","The Room JumpChain.pdf")</f>
        <v>The Room JumpChain.pdf</v>
      </c>
      <c r="B1246" s="12" t="str">
        <f t="shared" si="189"/>
        <v>DriveAnon's 4chan Drive/2. EVERYONE ELSE'S JUMPS/2. Complete but need image work/Q-V Jumps</v>
      </c>
    </row>
    <row r="1247">
      <c r="A1247" s="12" t="str">
        <f>HYPERLINK("https://drive.google.com/file/d/1QLVy3qy-_Qn-JSzjrfx_C37dMWhHhWjV/view?usp=drivesdk","Skullgirls JumpChain.pdf")</f>
        <v>Skullgirls JumpChain.pdf</v>
      </c>
      <c r="B1247" s="12" t="str">
        <f t="shared" si="189"/>
        <v>DriveAnon's 4chan Drive/2. EVERYONE ELSE'S JUMPS/2. Complete but need image work/Q-V Jumps</v>
      </c>
    </row>
    <row r="1248">
      <c r="A1248" s="12" t="str">
        <f>HYPERLINK("https://drive.google.com/file/d/1RTsCz_0k1AfMBNCZbuU7bLVOC2gbZ78M/view?usp=drivesdk","Viking Saga JumpChain.pdf")</f>
        <v>Viking Saga JumpChain.pdf</v>
      </c>
      <c r="B1248" s="12" t="str">
        <f t="shared" si="189"/>
        <v>DriveAnon's 4chan Drive/2. EVERYONE ELSE'S JUMPS/2. Complete but need image work/Q-V Jumps</v>
      </c>
    </row>
    <row r="1249">
      <c r="A1249" s="12" t="str">
        <f>HYPERLINK("https://drive.google.com/file/d/1ReqngE9rHrJ7WerC2cm4sCuT85vFnRco/view?usp=drivesdk","Sabaton JumpChain.pdf")</f>
        <v>Sabaton JumpChain.pdf</v>
      </c>
      <c r="B1249" s="12" t="str">
        <f t="shared" si="189"/>
        <v>DriveAnon's 4chan Drive/2. EVERYONE ELSE'S JUMPS/2. Complete but need image work/Q-V Jumps</v>
      </c>
    </row>
    <row r="1250">
      <c r="A1250" s="12" t="str">
        <f>HYPERLINK("https://drive.google.com/file/d/1U036_UoDWr1xHtwMhVYgbsKA_3WzBvu3/view?usp=drivesdk","The Hunter JumpChain.pdf")</f>
        <v>The Hunter JumpChain.pdf</v>
      </c>
      <c r="B1250" s="12" t="str">
        <f t="shared" si="189"/>
        <v>DriveAnon's 4chan Drive/2. EVERYONE ELSE'S JUMPS/2. Complete but need image work/Q-V Jumps</v>
      </c>
    </row>
    <row r="1251">
      <c r="A1251" s="12" t="str">
        <f>HYPERLINK("https://drive.google.com/file/d/1UCemey1XEhoekuKXzT7ZZ-10gafpraoD/view?usp=drivesdk","Ranma 1-2 JumpChain.pdf")</f>
        <v>Ranma 1-2 JumpChain.pdf</v>
      </c>
      <c r="B1251" s="12" t="str">
        <f t="shared" si="189"/>
        <v>DriveAnon's 4chan Drive/2. EVERYONE ELSE'S JUMPS/2. Complete but need image work/Q-V Jumps</v>
      </c>
    </row>
    <row r="1252">
      <c r="A1252" s="12" t="str">
        <f>HYPERLINK("https://drive.google.com/file/d/1VZ9xUmMEQXFGRXCPuT98fxVFYhPbJCZE/view?usp=drivesdk","Ring of Red JumpChain.pdf")</f>
        <v>Ring of Red JumpChain.pdf</v>
      </c>
      <c r="B1252" s="12" t="str">
        <f t="shared" si="189"/>
        <v>DriveAnon's 4chan Drive/2. EVERYONE ELSE'S JUMPS/2. Complete but need image work/Q-V Jumps</v>
      </c>
    </row>
    <row r="1253">
      <c r="A1253" s="12" t="str">
        <f>HYPERLINK("https://drive.google.com/file/d/1VqT-VVShowrtXHT5Wwwt2zDjIizM6eyw/view?usp=drivesdk","SCP Foundation Jumpchain.pdf")</f>
        <v>SCP Foundation Jumpchain.pdf</v>
      </c>
      <c r="B1253" s="12" t="str">
        <f t="shared" si="189"/>
        <v>DriveAnon's 4chan Drive/2. EVERYONE ELSE'S JUMPS/2. Complete but need image work/Q-V Jumps</v>
      </c>
    </row>
    <row r="1254">
      <c r="A1254" s="12" t="str">
        <f>HYPERLINK("https://drive.google.com/file/d/1Ydd4ppAZUJ2RxiBmBooJT1MLobOTUwt0/view?usp=drivesdk","Scott Pilgrim JumpChain.pdf")</f>
        <v>Scott Pilgrim JumpChain.pdf</v>
      </c>
      <c r="B1254" s="12" t="str">
        <f t="shared" si="189"/>
        <v>DriveAnon's 4chan Drive/2. EVERYONE ELSE'S JUMPS/2. Complete but need image work/Q-V Jumps</v>
      </c>
    </row>
    <row r="1255">
      <c r="A1255" s="12" t="str">
        <f>HYPERLINK("https://drive.google.com/file/d/1ZGhflqOYN6sevJ_Y6AIWuyMW9Lp2Wmbg/view?usp=drivesdk","Ratchet and Clank Jumpchain.pdf")</f>
        <v>Ratchet and Clank Jumpchain.pdf</v>
      </c>
      <c r="B1255" s="12" t="str">
        <f t="shared" si="189"/>
        <v>DriveAnon's 4chan Drive/2. EVERYONE ELSE'S JUMPS/2. Complete but need image work/Q-V Jumps</v>
      </c>
    </row>
    <row r="1256">
      <c r="A1256" s="12" t="str">
        <f>HYPERLINK("https://drive.google.com/file/d/1_CaowMGadiCHM8eop-CKLKhNhOYnuW7c/view?usp=drivesdk","Total War JumpChain.pdf")</f>
        <v>Total War JumpChain.pdf</v>
      </c>
      <c r="B1256" s="12" t="str">
        <f t="shared" si="189"/>
        <v>DriveAnon's 4chan Drive/2. EVERYONE ELSE'S JUMPS/2. Complete but need image work/Q-V Jumps</v>
      </c>
    </row>
    <row r="1257">
      <c r="A1257" s="12" t="str">
        <f>HYPERLINK("https://drive.google.com/file/d/1_Vetm1nCsqyOPgUC9PREhAD2I25JCfep/view?usp=drivesdk","Red Dead Redemption JumpChain.pdf")</f>
        <v>Red Dead Redemption JumpChain.pdf</v>
      </c>
      <c r="B1257" s="12" t="str">
        <f t="shared" si="189"/>
        <v>DriveAnon's 4chan Drive/2. EVERYONE ELSE'S JUMPS/2. Complete but need image work/Q-V Jumps</v>
      </c>
    </row>
    <row r="1258">
      <c r="A1258" s="12" t="str">
        <f>HYPERLINK("https://drive.google.com/file/d/1b6AL7bEaeVhj4YWsAuWRIezBAZ1dChe-/view?usp=drivesdk","Riddick JumpChain.pdf")</f>
        <v>Riddick JumpChain.pdf</v>
      </c>
      <c r="B1258" s="12" t="str">
        <f t="shared" si="189"/>
        <v>DriveAnon's 4chan Drive/2. EVERYONE ELSE'S JUMPS/2. Complete but need image work/Q-V Jumps</v>
      </c>
    </row>
    <row r="1259">
      <c r="A1259" s="12" t="str">
        <f>HYPERLINK("https://drive.google.com/file/d/1bUMfpJuhAqda_VvcGiSpAQwIU5IioJEL/view?usp=drivesdk","Redwall jumpchain.pdf")</f>
        <v>Redwall jumpchain.pdf</v>
      </c>
      <c r="B1259" s="12" t="str">
        <f t="shared" si="189"/>
        <v>DriveAnon's 4chan Drive/2. EVERYONE ELSE'S JUMPS/2. Complete but need image work/Q-V Jumps</v>
      </c>
    </row>
    <row r="1260">
      <c r="A1260" s="12" t="str">
        <f>HYPERLINK("https://drive.google.com/file/d/1cJmiyZIvMJWLDU8bniCA8lZAHOSjU5OB/view?usp=drivesdk","Slayers JumpChain.pdf")</f>
        <v>Slayers JumpChain.pdf</v>
      </c>
      <c r="B1260" s="12" t="str">
        <f t="shared" si="189"/>
        <v>DriveAnon's 4chan Drive/2. EVERYONE ELSE'S JUMPS/2. Complete but need image work/Q-V Jumps</v>
      </c>
    </row>
    <row r="1261">
      <c r="A1261" s="12" t="str">
        <f>HYPERLINK("https://drive.google.com/file/d/1d9Y7sfyoQZt_eIC8Lh-3gyc4xq9Rt8H4/view?usp=drivesdk","Schlock Mercenary  JumpChain.pdf")</f>
        <v>Schlock Mercenary  JumpChain.pdf</v>
      </c>
      <c r="B1261" s="12" t="str">
        <f t="shared" si="189"/>
        <v>DriveAnon's 4chan Drive/2. EVERYONE ELSE'S JUMPS/2. Complete but need image work/Q-V Jumps</v>
      </c>
    </row>
    <row r="1262">
      <c r="A1262" s="12" t="str">
        <f>HYPERLINK("https://drive.google.com/file/d/1dKKjgb1sG8AvkNyxBfS1gYhUiEcYLij0/view?usp=drivesdk","Rust JumpChain.pdf")</f>
        <v>Rust JumpChain.pdf</v>
      </c>
      <c r="B1262" s="12" t="str">
        <f t="shared" si="189"/>
        <v>DriveAnon's 4chan Drive/2. EVERYONE ELSE'S JUMPS/2. Complete but need image work/Q-V Jumps</v>
      </c>
    </row>
    <row r="1263">
      <c r="A1263" s="12" t="str">
        <f>HYPERLINK("https://drive.google.com/file/d/1ddOKcZ3SvMg8mGftyECDqawkXvBuM67B/view?usp=drivesdk","Razzle Dazzle Jumpchain.pdf")</f>
        <v>Razzle Dazzle Jumpchain.pdf</v>
      </c>
      <c r="B1263" s="12" t="str">
        <f t="shared" si="189"/>
        <v>DriveAnon's 4chan Drive/2. EVERYONE ELSE'S JUMPS/2. Complete but need image work/Q-V Jumps</v>
      </c>
    </row>
    <row r="1264">
      <c r="A1264" s="12" t="str">
        <f>HYPERLINK("https://drive.google.com/file/d/1doyW-7Y5hlP0RHYJzGL5Ayy-QGE9W1W4/view?usp=drivesdk","Sword Art Online Jump.pdf")</f>
        <v>Sword Art Online Jump.pdf</v>
      </c>
      <c r="B1264" s="12" t="str">
        <f t="shared" si="189"/>
        <v>DriveAnon's 4chan Drive/2. EVERYONE ELSE'S JUMPS/2. Complete but need image work/Q-V Jumps</v>
      </c>
    </row>
    <row r="1265">
      <c r="A1265" s="12" t="str">
        <f>HYPERLINK("https://drive.google.com/file/d/1g2e5kTOPgaLi_lBbzMCVI59Prqqfhvwq/view?usp=drivesdk","The Skullman JumpChain.pdf")</f>
        <v>The Skullman JumpChain.pdf</v>
      </c>
      <c r="B1265" s="12" t="str">
        <f t="shared" si="189"/>
        <v>DriveAnon's 4chan Drive/2. EVERYONE ELSE'S JUMPS/2. Complete but need image work/Q-V Jumps</v>
      </c>
    </row>
    <row r="1266">
      <c r="A1266" s="12" t="str">
        <f>HYPERLINK("https://drive.google.com/file/d/1hGfVqHR5Zec8t5AgzSMKfU0Q1kuEuFFm/view?usp=drivesdk","Total Drama JumpChain.pdf")</f>
        <v>Total Drama JumpChain.pdf</v>
      </c>
      <c r="B1266" s="12" t="str">
        <f t="shared" si="189"/>
        <v>DriveAnon's 4chan Drive/2. EVERYONE ELSE'S JUMPS/2. Complete but need image work/Q-V Jumps</v>
      </c>
    </row>
    <row r="1267">
      <c r="A1267" s="12" t="str">
        <f>HYPERLINK("https://drive.google.com/file/d/1hQMEb-ELRedW669c6JCbUQQDyM4jhL72/view?usp=drivesdk","Tortall JumpChain.pdf")</f>
        <v>Tortall JumpChain.pdf</v>
      </c>
      <c r="B1267" s="12" t="str">
        <f t="shared" si="189"/>
        <v>DriveAnon's 4chan Drive/2. EVERYONE ELSE'S JUMPS/2. Complete but need image work/Q-V Jumps</v>
      </c>
    </row>
    <row r="1268">
      <c r="A1268" s="12" t="str">
        <f>HYPERLINK("https://drive.google.com/file/d/1j5g3AySQyc4wNyKBcbiffrR1P9CbslSs/view?usp=drivesdk","Redline Jumpchain.pdf")</f>
        <v>Redline Jumpchain.pdf</v>
      </c>
      <c r="B1268" s="12" t="str">
        <f t="shared" si="189"/>
        <v>DriveAnon's 4chan Drive/2. EVERYONE ELSE'S JUMPS/2. Complete but need image work/Q-V Jumps</v>
      </c>
    </row>
    <row r="1269">
      <c r="A1269" s="12" t="str">
        <f>HYPERLINK("https://drive.google.com/file/d/1jjpWscHolrJBWmaWi3mEO38JVzC_0j70/view?usp=drivesdk","Treasure Planet JumpCahin.pdf")</f>
        <v>Treasure Planet JumpCahin.pdf</v>
      </c>
      <c r="B1269" s="12" t="str">
        <f t="shared" si="189"/>
        <v>DriveAnon's 4chan Drive/2. EVERYONE ELSE'S JUMPS/2. Complete but need image work/Q-V Jumps</v>
      </c>
    </row>
    <row r="1270">
      <c r="A1270" s="12" t="str">
        <f>HYPERLINK("https://drive.google.com/file/d/1l6V3763xc71KTWNH8xIjDvYNFy4T7-0C/view?usp=drivesdk","Sherlock Holmes JumpChain.pdf")</f>
        <v>Sherlock Holmes JumpChain.pdf</v>
      </c>
      <c r="B1270" s="12" t="str">
        <f t="shared" si="189"/>
        <v>DriveAnon's 4chan Drive/2. EVERYONE ELSE'S JUMPS/2. Complete but need image work/Q-V Jumps</v>
      </c>
    </row>
    <row r="1271">
      <c r="A1271" s="12" t="str">
        <f>HYPERLINK("https://drive.google.com/file/d/1mGZ88Jws0WeCYccnAgajlDOZlPB6bLFv/view?usp=drivesdk","Star Fox Jumpchain.pdf")</f>
        <v>Star Fox Jumpchain.pdf</v>
      </c>
      <c r="B1271" s="12" t="str">
        <f t="shared" si="189"/>
        <v>DriveAnon's 4chan Drive/2. EVERYONE ELSE'S JUMPS/2. Complete but need image work/Q-V Jumps</v>
      </c>
    </row>
    <row r="1272">
      <c r="A1272" s="12" t="str">
        <f>HYPERLINK("https://drive.google.com/file/d/1ocGt3IAjlUzZ_dX2ux144fIu3iq4dOU6/view?usp=drivesdk","Storm Hawks jumpchain.pdf")</f>
        <v>Storm Hawks jumpchain.pdf</v>
      </c>
      <c r="B1272" s="12" t="str">
        <f t="shared" si="189"/>
        <v>DriveAnon's 4chan Drive/2. EVERYONE ELSE'S JUMPS/2. Complete but need image work/Q-V Jumps</v>
      </c>
    </row>
    <row r="1273">
      <c r="A1273" s="12" t="str">
        <f>HYPERLINK("https://drive.google.com/file/d/1ohwJktgl5c4KcMKOAWUBy5oUemnTGje3/view?usp=drivesdk","Samurai Deeper Kyo JumpChain.pdf")</f>
        <v>Samurai Deeper Kyo JumpChain.pdf</v>
      </c>
      <c r="B1273" s="12" t="str">
        <f t="shared" si="189"/>
        <v>DriveAnon's 4chan Drive/2. EVERYONE ELSE'S JUMPS/2. Complete but need image work/Q-V Jumps</v>
      </c>
    </row>
    <row r="1274">
      <c r="A1274" s="12" t="str">
        <f>HYPERLINK("https://drive.google.com/file/d/1pxNBK9X9xWWj-RtpcvSbr5O6hNMffW9P/view?usp=drivesdk","Roughnecks- Starship Troopers Chronicles JumpChain.pdf")</f>
        <v>Roughnecks- Starship Troopers Chronicles JumpChain.pdf</v>
      </c>
      <c r="B1274" s="12" t="str">
        <f t="shared" si="189"/>
        <v>DriveAnon's 4chan Drive/2. EVERYONE ELSE'S JUMPS/2. Complete but need image work/Q-V Jumps</v>
      </c>
    </row>
    <row r="1275">
      <c r="A1275" s="12" t="str">
        <f>HYPERLINK("https://drive.google.com/file/d/1qMFBsoxZMkUHvDWb-_TNn773Tr64yGVj/view?usp=drivesdk","Spongebob JumpChain.pdf")</f>
        <v>Spongebob JumpChain.pdf</v>
      </c>
      <c r="B1275" s="12" t="str">
        <f t="shared" si="189"/>
        <v>DriveAnon's 4chan Drive/2. EVERYONE ELSE'S JUMPS/2. Complete but need image work/Q-V Jumps</v>
      </c>
    </row>
    <row r="1276">
      <c r="A1276" s="12" t="str">
        <f>HYPERLINK("https://drive.google.com/file/d/1q_0jMrUcJKIyBhUQKasp3a2aC4e4_8J8/view?usp=drivesdk","Swat Kats JumpChain.pdf")</f>
        <v>Swat Kats JumpChain.pdf</v>
      </c>
      <c r="B1276" s="12" t="str">
        <f t="shared" si="189"/>
        <v>DriveAnon's 4chan Drive/2. EVERYONE ELSE'S JUMPS/2. Complete but need image work/Q-V Jumps</v>
      </c>
    </row>
    <row r="1277">
      <c r="A1277" s="12" t="str">
        <f>HYPERLINK("https://drive.google.com/file/d/1u5NATWPmmU0wzjKh2SEe-6Qr-JPrPosH/view?usp=drivesdk","Valkyrie Profile JumpChain.pdf")</f>
        <v>Valkyrie Profile JumpChain.pdf</v>
      </c>
      <c r="B1277" s="12" t="str">
        <f t="shared" si="189"/>
        <v>DriveAnon's 4chan Drive/2. EVERYONE ELSE'S JUMPS/2. Complete but need image work/Q-V Jumps</v>
      </c>
    </row>
    <row r="1278">
      <c r="A1278" s="12" t="str">
        <f>HYPERLINK("https://drive.google.com/file/d/1vyVSZAQ4S2CI6wjAxDTfUjG-1BHYpjyB/view?usp=drivesdk","Spooky_s House of Jumpscares JumpChain.pdf")</f>
        <v>Spooky_s House of Jumpscares JumpChain.pdf</v>
      </c>
      <c r="B1278" s="12" t="str">
        <f t="shared" si="189"/>
        <v>DriveAnon's 4chan Drive/2. EVERYONE ELSE'S JUMPS/2. Complete but need image work/Q-V Jumps</v>
      </c>
    </row>
    <row r="1279">
      <c r="A1279" s="12" t="str">
        <f>HYPERLINK("https://drive.google.com/file/d/1xEtgRc9qXoHEJGzKeRV4pT9CUoWgGmfT/view?usp=drivesdk","Spice _ Wolf JumpChain.pdf")</f>
        <v>Spice _ Wolf JumpChain.pdf</v>
      </c>
      <c r="B1279" s="12" t="str">
        <f t="shared" si="189"/>
        <v>DriveAnon's 4chan Drive/2. EVERYONE ELSE'S JUMPS/2. Complete but need image work/Q-V Jumps</v>
      </c>
    </row>
    <row r="1280">
      <c r="A1280" s="12" t="str">
        <f>HYPERLINK("https://drive.google.com/file/d/1xcVA1BaZW-NJt9Z5XP4hyOMRBcRpRlbv/view?usp=drivesdk","Underworld Jump.pdf")</f>
        <v>Underworld Jump.pdf</v>
      </c>
      <c r="B1280" s="12" t="str">
        <f t="shared" si="189"/>
        <v>DriveAnon's 4chan Drive/2. EVERYONE ELSE'S JUMPS/2. Complete but need image work/Q-V Jumps</v>
      </c>
    </row>
    <row r="1281">
      <c r="A1281" s="12" t="str">
        <f>HYPERLINK("https://drive.google.com/file/d/1yST5cBBkfLjkpAExC8py6j9gVtQqadk7/view?usp=drivesdk","Splinter Cell JumpChain.pdf")</f>
        <v>Splinter Cell JumpChain.pdf</v>
      </c>
      <c r="B1281" s="12" t="str">
        <f t="shared" si="189"/>
        <v>DriveAnon's 4chan Drive/2. EVERYONE ELSE'S JUMPS/2. Complete but need image work/Q-V Jumps</v>
      </c>
    </row>
    <row r="1282">
      <c r="A1282" s="12" t="str">
        <f>HYPERLINK("https://drive.google.com/file/d/1-Bq4Sgpz8-fvXbdp1_jWL30yoOlyVcfa/view?usp=drivesdk","The Death Mage Who Doesn_t Want a Fourth Time JumpChain.pdf")</f>
        <v>The Death Mage Who Doesn_t Want a Fourth Time JumpChain.pdf</v>
      </c>
      <c r="B1282" s="12" t="str">
        <f t="shared" si="189"/>
        <v>DriveAnon's 4chan Drive/2. EVERYONE ELSE'S JUMPS/2. Complete but need image work/Q-V Jumps</v>
      </c>
    </row>
    <row r="1283">
      <c r="A1283" s="12" t="str">
        <f>HYPERLINK("https://drive.google.com/file/d/12BHXVI8-CGxuSjcioLV6euZcjRj0GShQ/view?usp=drivesdk","Summon Night Swordcraft Story JumpChain.pdf")</f>
        <v>Summon Night Swordcraft Story JumpChain.pdf</v>
      </c>
      <c r="B1283" s="12" t="str">
        <f t="shared" si="189"/>
        <v>DriveAnon's 4chan Drive/2. EVERYONE ELSE'S JUMPS/2. Complete but need image work/Q-V Jumps</v>
      </c>
    </row>
    <row r="1284">
      <c r="A1284" s="12" t="str">
        <f>HYPERLINK("https://drive.google.com/file/d/195p4pD3uVvzMFjDoaBgwD_eV--95Z4DU/view?usp=drivesdk","REBOOT JumpChain.pdf")</f>
        <v>REBOOT JumpChain.pdf</v>
      </c>
      <c r="B1284" s="12" t="str">
        <f t="shared" si="189"/>
        <v>DriveAnon's 4chan Drive/2. EVERYONE ELSE'S JUMPS/2. Complete but need image work/Q-V Jumps</v>
      </c>
    </row>
    <row r="1285">
      <c r="A1285" s="12" t="str">
        <f>HYPERLINK("https://drive.google.com/file/d/1BAAKJX2fK-9LZlh5zesNFbxBkpkL8D0_/view?usp=drivesdk","Saint Young Men JumpChain.pdf")</f>
        <v>Saint Young Men JumpChain.pdf</v>
      </c>
      <c r="B1285" s="12" t="str">
        <f t="shared" si="189"/>
        <v>DriveAnon's 4chan Drive/2. EVERYONE ELSE'S JUMPS/2. Complete but need image work/Q-V Jumps</v>
      </c>
    </row>
    <row r="1286">
      <c r="A1286" s="12" t="str">
        <f>HYPERLINK("https://drive.google.com/file/d/1HNVAKT04IXfQtXeN69zoiSmTfri_eTUm/view?usp=drivesdk","Ryuuou no Oshigoto JumpChain.pdf")</f>
        <v>Ryuuou no Oshigoto JumpChain.pdf</v>
      </c>
      <c r="B1286" s="12" t="str">
        <f t="shared" si="189"/>
        <v>DriveAnon's 4chan Drive/2. EVERYONE ELSE'S JUMPS/2. Complete but need image work/Q-V Jumps</v>
      </c>
    </row>
    <row r="1287">
      <c r="A1287" s="12" t="str">
        <f>HYPERLINK("https://drive.google.com/file/d/1Olm35dSLwNxjihlf1ElRzCFXG_fk_tZn/view?usp=drivesdk","Trails of Cold Steel JumpChain.pdf")</f>
        <v>Trails of Cold Steel JumpChain.pdf</v>
      </c>
      <c r="B1287" s="12" t="str">
        <f t="shared" si="189"/>
        <v>DriveAnon's 4chan Drive/2. EVERYONE ELSE'S JUMPS/2. Complete but need image work/Q-V Jumps</v>
      </c>
    </row>
    <row r="1288">
      <c r="A1288" s="12" t="str">
        <f>HYPERLINK("https://drive.google.com/file/d/1TG7maSHTOm_d4mkgXWwvQ-HPnIqlfRYW/view?usp=drivesdk","Sidekicks JumpChain.pdf")</f>
        <v>Sidekicks JumpChain.pdf</v>
      </c>
      <c r="B1288" s="12" t="str">
        <f t="shared" si="189"/>
        <v>DriveAnon's 4chan Drive/2. EVERYONE ELSE'S JUMPS/2. Complete but need image work/Q-V Jumps</v>
      </c>
    </row>
    <row r="1289">
      <c r="A1289" s="12" t="str">
        <f>HYPERLINK("https://drive.google.com/file/d/1Tz6pZosJt_k2MV0rBM4OD104H89v75tO/view?usp=drivesdk","Soul Eater JumpChain.pdf")</f>
        <v>Soul Eater JumpChain.pdf</v>
      </c>
      <c r="B1289" s="12" t="str">
        <f t="shared" si="189"/>
        <v>DriveAnon's 4chan Drive/2. EVERYONE ELSE'S JUMPS/2. Complete but need image work/Q-V Jumps</v>
      </c>
    </row>
    <row r="1290">
      <c r="A1290" s="12" t="str">
        <f>HYPERLINK("https://drive.google.com/file/d/1WIk_mX6x2GR0GqUCIq_wK-ouRk2Zmdvm/view?usp=drivesdk","Shakespeare JumpChain.pdf")</f>
        <v>Shakespeare JumpChain.pdf</v>
      </c>
      <c r="B1290" s="12" t="str">
        <f t="shared" si="189"/>
        <v>DriveAnon's 4chan Drive/2. EVERYONE ELSE'S JUMPS/2. Complete but need image work/Q-V Jumps</v>
      </c>
    </row>
    <row r="1291">
      <c r="A1291" s="12" t="str">
        <f>HYPERLINK("https://drive.google.com/file/d/1YUZK-oiizfCH2cD9EAr_dm_F0re0yuiY/view?usp=drivesdk","Seiji Tanaka Secretary to the Managing President, General Time Industries JumpChain.pdf")</f>
        <v>Seiji Tanaka Secretary to the Managing President, General Time Industries JumpChain.pdf</v>
      </c>
      <c r="B1291" s="12" t="str">
        <f t="shared" si="189"/>
        <v>DriveAnon's 4chan Drive/2. EVERYONE ELSE'S JUMPS/2. Complete but need image work/Q-V Jumps</v>
      </c>
    </row>
    <row r="1292">
      <c r="A1292" s="12" t="str">
        <f>HYPERLINK("https://drive.google.com/file/d/1c-Ei8uY4S9yHnD5kHP4RFggrhDUq_NLf/view?usp=drivesdk","Trinity JumpChain.pdf")</f>
        <v>Trinity JumpChain.pdf</v>
      </c>
      <c r="B1292" s="12" t="str">
        <f t="shared" si="189"/>
        <v>DriveAnon's 4chan Drive/2. EVERYONE ELSE'S JUMPS/2. Complete but need image work/Q-V Jumps</v>
      </c>
    </row>
    <row r="1293">
      <c r="A1293" s="12" t="str">
        <f>HYPERLINK("https://drive.google.com/file/d/1cRcElkBOUmPe9pyvyT3CtAmdr44DXyEW/view?usp=drivesdk","The Record Of A Fallen Vampire JumpChain.pdf")</f>
        <v>The Record Of A Fallen Vampire JumpChain.pdf</v>
      </c>
      <c r="B1293" s="12" t="str">
        <f t="shared" si="189"/>
        <v>DriveAnon's 4chan Drive/2. EVERYONE ELSE'S JUMPS/2. Complete but need image work/Q-V Jumps</v>
      </c>
    </row>
    <row r="1294">
      <c r="A1294" s="12" t="str">
        <f>HYPERLINK("https://drive.google.com/file/d/1dmXrMVjYCPDmJMaSSWLuOT53Lj32vBql/view?usp=drivesdk","The Adventure Zone- Balance JumpChain.pdf")</f>
        <v>The Adventure Zone- Balance JumpChain.pdf</v>
      </c>
      <c r="B1294" s="12" t="str">
        <f t="shared" si="189"/>
        <v>DriveAnon's 4chan Drive/2. EVERYONE ELSE'S JUMPS/2. Complete but need image work/Q-V Jumps</v>
      </c>
    </row>
    <row r="1295">
      <c r="A1295" s="12" t="str">
        <f>HYPERLINK("https://drive.google.com/file/d/1e45YHRzK6uOq0np1kPZtglDiDbk6shrZ/view?usp=drivesdk","Tate no Yusha no Nariagari JumpChain.pdf")</f>
        <v>Tate no Yusha no Nariagari JumpChain.pdf</v>
      </c>
      <c r="B1295" s="12" t="str">
        <f t="shared" si="189"/>
        <v>DriveAnon's 4chan Drive/2. EVERYONE ELSE'S JUMPS/2. Complete but need image work/Q-V Jumps</v>
      </c>
    </row>
    <row r="1296">
      <c r="A1296" s="12" t="str">
        <f>HYPERLINK("https://drive.google.com/file/d/1ehcA36KJ9bBAqJlL8c2-CMTGUyD4MBvC/view?usp=drivesdk","Rebirth of Mothra JumpChain.pdf")</f>
        <v>Rebirth of Mothra JumpChain.pdf</v>
      </c>
      <c r="B1296" s="12" t="str">
        <f t="shared" si="189"/>
        <v>DriveAnon's 4chan Drive/2. EVERYONE ELSE'S JUMPS/2. Complete but need image work/Q-V Jumps</v>
      </c>
    </row>
    <row r="1297">
      <c r="A1297" s="12" t="str">
        <f>HYPERLINK("https://drive.google.com/file/d/1eljasCEUFxIHbaguHcAHnDeYGAu_lutB/view?usp=drivesdk","Reign of Fire JumpChain.pdf")</f>
        <v>Reign of Fire JumpChain.pdf</v>
      </c>
      <c r="B1297" s="12" t="str">
        <f t="shared" si="189"/>
        <v>DriveAnon's 4chan Drive/2. EVERYONE ELSE'S JUMPS/2. Complete but need image work/Q-V Jumps</v>
      </c>
    </row>
    <row r="1298">
      <c r="A1298" s="12" t="str">
        <f>HYPERLINK("https://drive.google.com/file/d/1jRDeYu8zAiKfZnGEe5zwoX4IEX9_VLR3/view?usp=drivesdk","Stealth Symphony JumpChain.pdf")</f>
        <v>Stealth Symphony JumpChain.pdf</v>
      </c>
      <c r="B1298" s="12" t="str">
        <f t="shared" si="189"/>
        <v>DriveAnon's 4chan Drive/2. EVERYONE ELSE'S JUMPS/2. Complete but need image work/Q-V Jumps</v>
      </c>
    </row>
    <row r="1299">
      <c r="A1299" s="12" t="str">
        <f>HYPERLINK("https://drive.google.com/file/d/1kfw9dvgZbwOl3DHZjWsX31W1JJRPBcRv/view?usp=drivesdk","Tokyo Souls JumpChain.pdf")</f>
        <v>Tokyo Souls JumpChain.pdf</v>
      </c>
      <c r="B1299" s="12" t="str">
        <f t="shared" si="189"/>
        <v>DriveAnon's 4chan Drive/2. EVERYONE ELSE'S JUMPS/2. Complete but need image work/Q-V Jumps</v>
      </c>
    </row>
    <row r="1300">
      <c r="A1300" s="12" t="str">
        <f>HYPERLINK("https://drive.google.com/file/d/1nWf1qfXN9I9w5zTaFJa3c3kq8QppWqEr/view?usp=drivesdk","TMNT 2012 JumpChain.pdf")</f>
        <v>TMNT 2012 JumpChain.pdf</v>
      </c>
      <c r="B1300" s="12" t="str">
        <f t="shared" si="189"/>
        <v>DriveAnon's 4chan Drive/2. EVERYONE ELSE'S JUMPS/2. Complete but need image work/Q-V Jumps</v>
      </c>
    </row>
    <row r="1301">
      <c r="A1301" s="12" t="str">
        <f>HYPERLINK("https://drive.google.com/file/d/1oW4zvU-yZL2ZHewUxc6SVhtAFMidkB0l/view?usp=drivesdk","Starbound JumpChain.pdf")</f>
        <v>Starbound JumpChain.pdf</v>
      </c>
      <c r="B1301" s="12" t="str">
        <f t="shared" si="189"/>
        <v>DriveAnon's 4chan Drive/2. EVERYONE ELSE'S JUMPS/2. Complete but need image work/Q-V Jumps</v>
      </c>
    </row>
    <row r="1302">
      <c r="A1302" s="12" t="str">
        <f>HYPERLINK("https://drive.google.com/file/d/1p96_c5Khc2jF7eCDYKQrSFfhXY-LRlc_/view?usp=drivesdk","Slave Harem JumpChain.pdf")</f>
        <v>Slave Harem JumpChain.pdf</v>
      </c>
      <c r="B1302" s="12" t="str">
        <f t="shared" si="189"/>
        <v>DriveAnon's 4chan Drive/2. EVERYONE ELSE'S JUMPS/2. Complete but need image work/Q-V Jumps</v>
      </c>
    </row>
    <row r="1303">
      <c r="A1303" s="12" t="str">
        <f>HYPERLINK("https://drive.google.com/file/d/1pC3SwhQ08ZcDp0kYPmaPOhmXj4vRxe2G/view?usp=drivesdk","Total Annihilation JumpChain.pdf")</f>
        <v>Total Annihilation JumpChain.pdf</v>
      </c>
      <c r="B1303" s="12" t="str">
        <f t="shared" si="189"/>
        <v>DriveAnon's 4chan Drive/2. EVERYONE ELSE'S JUMPS/2. Complete but need image work/Q-V Jumps</v>
      </c>
    </row>
    <row r="1304">
      <c r="A1304" s="12" t="str">
        <f>HYPERLINK("https://drive.google.com/file/d/1pFpfrKXd8Ok5CsbPv_ku08MWtdEg0upG/view?usp=drivesdk","Shoujo Kageki Revue Starlight Jumpchain.pdf")</f>
        <v>Shoujo Kageki Revue Starlight Jumpchain.pdf</v>
      </c>
      <c r="B1304" s="12" t="str">
        <f t="shared" si="189"/>
        <v>DriveAnon's 4chan Drive/2. EVERYONE ELSE'S JUMPS/2. Complete but need image work/Q-V Jumps</v>
      </c>
    </row>
    <row r="1305">
      <c r="A1305" s="12" t="str">
        <f>HYPERLINK("https://drive.google.com/file/d/1rfZkst0JO_p7IAxi6ObCSKYjYoS2L0mO/view?usp=drivesdk","Spirit Island JumpChain.pdf")</f>
        <v>Spirit Island JumpChain.pdf</v>
      </c>
      <c r="B1305" s="12" t="str">
        <f t="shared" si="189"/>
        <v>DriveAnon's 4chan Drive/2. EVERYONE ELSE'S JUMPS/2. Complete but need image work/Q-V Jumps</v>
      </c>
    </row>
    <row r="1306">
      <c r="A1306" s="12" t="str">
        <f>HYPERLINK("https://drive.google.com/file/d/1uuX1HEO6UDSIYaXGwz6xG6z8x3UI2iLu/view?usp=drivesdk","Sinbad Legend of the Seven Seas JumpChain.pdf")</f>
        <v>Sinbad Legend of the Seven Seas JumpChain.pdf</v>
      </c>
      <c r="B1306" s="12" t="str">
        <f t="shared" si="189"/>
        <v>DriveAnon's 4chan Drive/2. EVERYONE ELSE'S JUMPS/2. Complete but need image work/Q-V Jumps</v>
      </c>
    </row>
    <row r="1307">
      <c r="A1307" s="12" t="str">
        <f>HYPERLINK("https://drive.google.com/file/d/1xVPyFP0dKIAha52XWACLaOaLCVELyqFz/view?usp=drivesdk","Sevens JumpChain.pdf")</f>
        <v>Sevens JumpChain.pdf</v>
      </c>
      <c r="B1307" s="12" t="str">
        <f t="shared" si="189"/>
        <v>DriveAnon's 4chan Drive/2. EVERYONE ELSE'S JUMPS/2. Complete but need image work/Q-V Jumps</v>
      </c>
    </row>
    <row r="1308">
      <c r="A1308" s="12" t="str">
        <f>HYPERLINK("https://drive.google.com/file/d/1--pt_bCDvcrgDnuTMwE9dDvnIhuaIsin/view?usp=drivesdk","Vector Thrust JumpChain.pdf")</f>
        <v>Vector Thrust JumpChain.pdf</v>
      </c>
      <c r="B1308" s="12" t="str">
        <f t="shared" si="189"/>
        <v>DriveAnon's 4chan Drive/2. EVERYONE ELSE'S JUMPS/2. Complete but need image work/Q-V Jumps</v>
      </c>
    </row>
    <row r="1309">
      <c r="A1309" s="12" t="str">
        <f>HYPERLINK("https://drive.google.com/file/d/10J-lLVzCERgsnVkAreSIV6E6eATQ7Ikk/view?usp=drivesdk","Re Zero JumpChain.pdf")</f>
        <v>Re Zero JumpChain.pdf</v>
      </c>
      <c r="B1309" s="12" t="str">
        <f t="shared" si="189"/>
        <v>DriveAnon's 4chan Drive/2. EVERYONE ELSE'S JUMPS/2. Complete but need image work/Q-V Jumps</v>
      </c>
    </row>
    <row r="1310">
      <c r="A1310" s="12" t="str">
        <f>HYPERLINK("https://drive.google.com/file/d/10d0meRoTzThZEj62HMH0jj-zLCDJnJ5A/view?usp=drivesdk","Runescape JumpChain.pdf")</f>
        <v>Runescape JumpChain.pdf</v>
      </c>
      <c r="B1310" s="12" t="str">
        <f t="shared" si="189"/>
        <v>DriveAnon's 4chan Drive/2. EVERYONE ELSE'S JUMPS/2. Complete but need image work/Q-V Jumps</v>
      </c>
    </row>
    <row r="1311">
      <c r="A1311" s="12" t="str">
        <f>HYPERLINK("https://drive.google.com/file/d/11UL0eWKuAt1KW1dZyomjd5vhOndCTBlw/view?usp=drivesdk","Sorcerer_s Apprentice JumpChain.pdf")</f>
        <v>Sorcerer_s Apprentice JumpChain.pdf</v>
      </c>
      <c r="B1311" s="12" t="str">
        <f t="shared" si="189"/>
        <v>DriveAnon's 4chan Drive/2. EVERYONE ELSE'S JUMPS/2. Complete but need image work/Q-V Jumps</v>
      </c>
    </row>
    <row r="1312">
      <c r="A1312" s="12" t="str">
        <f>HYPERLINK("https://drive.google.com/file/d/1BFe-0xLGuYUv0CryPqo7LvIFeOwo8kU1/view?usp=drivesdk","Tiny Hammer JumpChain.pdf")</f>
        <v>Tiny Hammer JumpChain.pdf</v>
      </c>
      <c r="B1312" s="12" t="str">
        <f t="shared" si="189"/>
        <v>DriveAnon's 4chan Drive/2. EVERYONE ELSE'S JUMPS/2. Complete but need image work/Q-V Jumps</v>
      </c>
    </row>
    <row r="1313">
      <c r="A1313" s="12" t="str">
        <f>HYPERLINK("https://drive.google.com/file/d/1EIL1ccYZZ01YYwUGYs_C6Js-r_WnIaZ4/view?usp=drivesdk","Rosario + Vampire JumpChain.pdf")</f>
        <v>Rosario + Vampire JumpChain.pdf</v>
      </c>
      <c r="B1313" s="12" t="str">
        <f t="shared" si="189"/>
        <v>DriveAnon's 4chan Drive/2. EVERYONE ELSE'S JUMPS/2. Complete but need image work/Q-V Jumps</v>
      </c>
    </row>
    <row r="1314">
      <c r="A1314" s="12" t="str">
        <f>HYPERLINK("https://drive.google.com/file/d/1NqgAnItoVFFauug8gQbjxdQnwfMNqAoH/view?usp=drivesdk","Red Orchestra 2 and Rising Storm JumpChain.pdf")</f>
        <v>Red Orchestra 2 and Rising Storm JumpChain.pdf</v>
      </c>
      <c r="B1314" s="12" t="str">
        <f t="shared" si="189"/>
        <v>DriveAnon's 4chan Drive/2. EVERYONE ELSE'S JUMPS/2. Complete but need image work/Q-V Jumps</v>
      </c>
    </row>
    <row r="1315">
      <c r="A1315" s="12" t="str">
        <f>HYPERLINK("https://drive.google.com/file/d/1NqjYgLe07oPLQ-fQ-b_0VYwYsvzobMuh/view?usp=drivesdk","Tsunbaka JumpChain.pdf")</f>
        <v>Tsunbaka JumpChain.pdf</v>
      </c>
      <c r="B1315" s="12" t="str">
        <f t="shared" si="189"/>
        <v>DriveAnon's 4chan Drive/2. EVERYONE ELSE'S JUMPS/2. Complete but need image work/Q-V Jumps</v>
      </c>
    </row>
    <row r="1316">
      <c r="A1316" s="12" t="str">
        <f>HYPERLINK("https://drive.google.com/file/d/1QCzqn_syog03m-LutLchdGJlXLl9G4Lf/view?usp=drivesdk","Über JumpChain.pdf")</f>
        <v>Über JumpChain.pdf</v>
      </c>
      <c r="B1316" s="12" t="str">
        <f t="shared" si="189"/>
        <v>DriveAnon's 4chan Drive/2. EVERYONE ELSE'S JUMPS/2. Complete but need image work/Q-V Jumps</v>
      </c>
    </row>
    <row r="1317">
      <c r="A1317" s="12" t="str">
        <f>HYPERLINK("https://drive.google.com/file/d/1QQ88uUfFQ6lJdAg7N4S7Z_oDAwZLGrSZ/view?usp=drivesdk","The Lazy King JumpChain.pdf")</f>
        <v>The Lazy King JumpChain.pdf</v>
      </c>
      <c r="B1317" s="12" t="str">
        <f t="shared" si="189"/>
        <v>DriveAnon's 4chan Drive/2. EVERYONE ELSE'S JUMPS/2. Complete but need image work/Q-V Jumps</v>
      </c>
    </row>
    <row r="1318">
      <c r="A1318" s="12" t="str">
        <f>HYPERLINK("https://drive.google.com/file/d/1VoODwoUs_9k_1A3R-4ymV5-LEn5Qh3hk/view?usp=drivesdk","Solo Leveling JumpChain.pdf")</f>
        <v>Solo Leveling JumpChain.pdf</v>
      </c>
      <c r="B1318" s="12" t="str">
        <f t="shared" si="189"/>
        <v>DriveAnon's 4chan Drive/2. EVERYONE ELSE'S JUMPS/2. Complete but need image work/Q-V Jumps</v>
      </c>
    </row>
    <row r="1319">
      <c r="A1319" s="12" t="str">
        <f>HYPERLINK("https://drive.google.com/file/d/1aOHlDXLek87V4UBhfiMcxGeVhsGWUvFt/view?usp=drivesdk","The Disastrous Life of Saiki K. JumpChain.pdf")</f>
        <v>The Disastrous Life of Saiki K. JumpChain.pdf</v>
      </c>
      <c r="B1319" s="12" t="str">
        <f t="shared" si="189"/>
        <v>DriveAnon's 4chan Drive/2. EVERYONE ELSE'S JUMPS/2. Complete but need image work/Q-V Jumps</v>
      </c>
    </row>
    <row r="1320">
      <c r="A1320" s="12" t="str">
        <f>HYPERLINK("https://drive.google.com/file/d/1b9tuCLwzgcQzDbwqR99wDc7ODtRvpVbj/view?usp=drivesdk","The Circumstances Leading to Waltraute’s Marriage JumpChain.pdf")</f>
        <v>The Circumstances Leading to Waltraute’s Marriage JumpChain.pdf</v>
      </c>
      <c r="B1320" s="12" t="str">
        <f t="shared" si="189"/>
        <v>DriveAnon's 4chan Drive/2. EVERYONE ELSE'S JUMPS/2. Complete but need image work/Q-V Jumps</v>
      </c>
    </row>
    <row r="1321">
      <c r="A1321" s="12" t="str">
        <f>HYPERLINK("https://drive.google.com/file/d/1c51CKe-Fc5qSQ464aSo-o1BJm8gU_cTE/view?usp=drivesdk","The Last Starfighter JumpChain.pdf")</f>
        <v>The Last Starfighter JumpChain.pdf</v>
      </c>
      <c r="B1321" s="12" t="str">
        <f t="shared" si="189"/>
        <v>DriveAnon's 4chan Drive/2. EVERYONE ELSE'S JUMPS/2. Complete but need image work/Q-V Jumps</v>
      </c>
    </row>
    <row r="1322">
      <c r="A1322" s="12" t="str">
        <f>HYPERLINK("https://drive.google.com/file/d/1d5D7SFw4NPrBWbWeoWqYI-ghC06kIept/view?usp=drivesdk","The Gray Garden JumpChain.pdf")</f>
        <v>The Gray Garden JumpChain.pdf</v>
      </c>
      <c r="B1322" s="12" t="str">
        <f t="shared" si="189"/>
        <v>DriveAnon's 4chan Drive/2. EVERYONE ELSE'S JUMPS/2. Complete but need image work/Q-V Jumps</v>
      </c>
    </row>
    <row r="1323">
      <c r="A1323" s="12" t="str">
        <f>HYPERLINK("https://drive.google.com/file/d/1qNv9PTBv3ynjD5-wKD3CPZCKImQsw_j8/view?usp=drivesdk","The World God Only Knows JumpChain.pdf")</f>
        <v>The World God Only Knows JumpChain.pdf</v>
      </c>
      <c r="B1323" s="12" t="str">
        <f t="shared" si="189"/>
        <v>DriveAnon's 4chan Drive/2. EVERYONE ELSE'S JUMPS/2. Complete but need image work/Q-V Jumps</v>
      </c>
    </row>
    <row r="1324">
      <c r="A1324" s="12" t="str">
        <f>HYPERLINK("https://drive.google.com/file/d/1wv0DjIUAgF5ybAnv8qmR-aHVYq_vMAH_/view?usp=drivesdk","Space Station 13 JumpChain.pdf")</f>
        <v>Space Station 13 JumpChain.pdf</v>
      </c>
      <c r="B1324" s="12" t="str">
        <f t="shared" si="189"/>
        <v>DriveAnon's 4chan Drive/2. EVERYONE ELSE'S JUMPS/2. Complete but need image work/Q-V Jumps</v>
      </c>
    </row>
    <row r="1325">
      <c r="A1325" s="12" t="str">
        <f>HYPERLINK("https://drive.google.com/file/d/144-u2k199dOrzBw__yT-Y6AG2ymX79yM/view?usp=drivesdk","The Bad Batch.pdf")</f>
        <v>The Bad Batch.pdf</v>
      </c>
      <c r="B1325" s="12" t="str">
        <f t="shared" si="189"/>
        <v>DriveAnon's 4chan Drive/2. EVERYONE ELSE'S JUMPS/2. Complete but need image work/Q-V Jumps</v>
      </c>
    </row>
    <row r="1326">
      <c r="A1326" s="12" t="str">
        <f>HYPERLINK("https://drive.google.com/file/d/1Ig2ERXaIjPPyA4Fzn0WGet28CXgJwSsm/view?usp=drivesdk","Samurai of Hyuga JumpChain.pdf")</f>
        <v>Samurai of Hyuga JumpChain.pdf</v>
      </c>
      <c r="B1326" s="12" t="str">
        <f t="shared" si="189"/>
        <v>DriveAnon's 4chan Drive/2. EVERYONE ELSE'S JUMPS/2. Complete but need image work/Q-V Jumps</v>
      </c>
    </row>
    <row r="1327">
      <c r="A1327" s="12" t="str">
        <f>HYPERLINK("https://drive.google.com/file/d/1L5y0v2uR-59D-hiVE5OxHwQzgHsfFyJu/view?usp=drivesdk","The Citadel Jumpchain.pdf")</f>
        <v>The Citadel Jumpchain.pdf</v>
      </c>
      <c r="B1327" s="12" t="str">
        <f t="shared" si="189"/>
        <v>DriveAnon's 4chan Drive/2. EVERYONE ELSE'S JUMPS/2. Complete but need image work/Q-V Jumps</v>
      </c>
    </row>
    <row r="1328">
      <c r="A1328" s="12" t="str">
        <f>HYPERLINK("https://drive.google.com/file/d/1jXC4FDWCjyZQhOyqvzF_84bRxwFenGG6/view?usp=drivesdk","Tokyo Mirage Sessions #FE Encore.pdf")</f>
        <v>Tokyo Mirage Sessions #FE Encore.pdf</v>
      </c>
      <c r="B1328" s="12" t="str">
        <f t="shared" si="189"/>
        <v>DriveAnon's 4chan Drive/2. EVERYONE ELSE'S JUMPS/2. Complete but need image work/Q-V Jumps</v>
      </c>
    </row>
    <row r="1329">
      <c r="A1329" s="12" t="str">
        <f>HYPERLINK("https://drive.google.com/file/d/1mFyrfEwXZ8CmvRJNUkUj2yY83HI4A-ls/view?usp=drivesdk","Shinmai Maou no Testament Jumpchain v1.1.pdf")</f>
        <v>Shinmai Maou no Testament Jumpchain v1.1.pdf</v>
      </c>
      <c r="B1329" s="12" t="str">
        <f t="shared" si="189"/>
        <v>DriveAnon's 4chan Drive/2. EVERYONE ELSE'S JUMPS/2. Complete but need image work/Q-V Jumps</v>
      </c>
    </row>
    <row r="1330">
      <c r="A1330" s="12" t="str">
        <f>HYPERLINK("https://drive.google.com/file/d/1x_anEKhr8tAqbUETTk7ivCDmaIEQvA9L/view?usp=drivesdk","The Mask.pdf")</f>
        <v>The Mask.pdf</v>
      </c>
      <c r="B1330" s="12" t="str">
        <f t="shared" si="189"/>
        <v>DriveAnon's 4chan Drive/2. EVERYONE ELSE'S JUMPS/2. Complete but need image work/Q-V Jumps</v>
      </c>
    </row>
    <row r="1331">
      <c r="A1331" s="12" t="str">
        <f>HYPERLINK("https://drive.google.com/file/d/1xhYZIY8MOMS2nQDFTw2c0_pzJmlgl3r5/view?usp=drivesdk","Usagi-Chan de Cue!!.pdf")</f>
        <v>Usagi-Chan de Cue!!.pdf</v>
      </c>
      <c r="B1331" s="12" t="str">
        <f t="shared" si="189"/>
        <v>DriveAnon's 4chan Drive/2. EVERYONE ELSE'S JUMPS/2. Complete but need image work/Q-V Jumps</v>
      </c>
    </row>
    <row r="1332">
      <c r="A1332" s="12" t="str">
        <f>HYPERLINK("https://drive.google.com/file/d/1CGyrhXV7sskFF9PsC1fRVfLd4_SLTuR0/view?usp=drivesdk","The Shadow - Blood and Judgement.pdf")</f>
        <v>The Shadow - Blood and Judgement.pdf</v>
      </c>
      <c r="B1332" s="12" t="str">
        <f t="shared" si="189"/>
        <v>DriveAnon's 4chan Drive/2. EVERYONE ELSE'S JUMPS/2. Complete but need image work/Q-V Jumps</v>
      </c>
    </row>
    <row r="1333">
      <c r="A1333" s="12" t="str">
        <f>HYPERLINK("https://drive.google.com/file/d/1WlsES2PZHpzL0qnOBorkAgB5TTU2O9-R/view?usp=drivesdk","The Neverending Story jumpchain 1.5.pdf")</f>
        <v>The Neverending Story jumpchain 1.5.pdf</v>
      </c>
      <c r="B1333" s="12" t="str">
        <f t="shared" si="189"/>
        <v>DriveAnon's 4chan Drive/2. EVERYONE ELSE'S JUMPS/2. Complete but need image work/Q-V Jumps</v>
      </c>
    </row>
    <row r="1334">
      <c r="A1334" s="12" t="str">
        <f>HYPERLINK("https://drive.google.com/file/d/1XRZwSUkhuTsncFKM92Ni03cXnXBlgju5/view?usp=drivesdk","Seraph of the End.pdf")</f>
        <v>Seraph of the End.pdf</v>
      </c>
      <c r="B1334" s="12" t="str">
        <f t="shared" si="189"/>
        <v>DriveAnon's 4chan Drive/2. EVERYONE ELSE'S JUMPS/2. Complete but need image work/Q-V Jumps</v>
      </c>
    </row>
    <row r="1335">
      <c r="A1335" s="12" t="str">
        <f>HYPERLINK("https://drive.google.com/file/d/1ZY8fz3neEfr1xahcgT_ZQN4ZqSvuXUPZ/view?usp=drivesdk","Tsuki Tsuki!.pdf")</f>
        <v>Tsuki Tsuki!.pdf</v>
      </c>
      <c r="B1335" s="12" t="str">
        <f t="shared" si="189"/>
        <v>DriveAnon's 4chan Drive/2. EVERYONE ELSE'S JUMPS/2. Complete but need image work/Q-V Jumps</v>
      </c>
    </row>
    <row r="1336">
      <c r="A1336" s="12" t="str">
        <f>HYPERLINK("https://drive.google.com/file/d/1jouRJQziWVdqVC_LYCMo_6sLsSd2V7Nk/view?usp=drivesdk","The World of Otome is Tough For Mobs.pdf")</f>
        <v>The World of Otome is Tough For Mobs.pdf</v>
      </c>
      <c r="B1336" s="12" t="str">
        <f t="shared" si="189"/>
        <v>DriveAnon's 4chan Drive/2. EVERYONE ELSE'S JUMPS/2. Complete but need image work/Q-V Jumps</v>
      </c>
    </row>
    <row r="1337">
      <c r="A1337" s="12" t="str">
        <f>HYPERLINK("https://drive.google.com/file/d/10txK7TQLxlGbT09JaDXceUBHhJwjjoML/view?usp=drivesdk","Shinde kudasai Yuusha desho.pdf")</f>
        <v>Shinde kudasai Yuusha desho.pdf</v>
      </c>
      <c r="B1337" s="12" t="str">
        <f t="shared" si="189"/>
        <v>DriveAnon's 4chan Drive/2. EVERYONE ELSE'S JUMPS/2. Complete but need image work/Q-V Jumps</v>
      </c>
    </row>
    <row r="1338">
      <c r="A1338" s="12" t="str">
        <f>HYPERLINK("https://drive.google.com/file/d/1AnQxl6VEb-msDFHe6t4epitQ_AXGx2qU/view?usp=drivesdk","Getter Robo Saga.pdf")</f>
        <v>Getter Robo Saga.pdf</v>
      </c>
      <c r="B1338" s="12" t="str">
        <f t="shared" ref="B1338:B1519" si="190">HYPERLINK("https://drive.google.com/drive/folders/1C-jpyxbM7No2Ip_bWo-NNCe4SwKmQ-L7","DriveAnon's 4chan Drive/2. EVERYONE ELSE'S JUMPS/2. Complete but need image work/F-K Jumps")</f>
        <v>DriveAnon's 4chan Drive/2. EVERYONE ELSE'S JUMPS/2. Complete but need image work/F-K Jumps</v>
      </c>
    </row>
    <row r="1339">
      <c r="A1339" s="12" t="str">
        <f>HYPERLINK("https://drive.google.com/file/d/1lQOueCLYQrEHRSF6IfTVdzs2faL3ZczF/view?usp=drivesdk","I’m The Evil Lord Of An Intergalactic Empire!.pdf")</f>
        <v>I’m The Evil Lord Of An Intergalactic Empire!.pdf</v>
      </c>
      <c r="B1339" s="12" t="str">
        <f t="shared" si="190"/>
        <v>DriveAnon's 4chan Drive/2. EVERYONE ELSE'S JUMPS/2. Complete but need image work/F-K Jumps</v>
      </c>
    </row>
    <row r="1340">
      <c r="A1340" s="12" t="str">
        <f>HYPERLINK("https://drive.google.com/file/d/1yE3BxTlZ9lgzFqPEQ_8vtjjGnRUYhNat/view?usp=drivesdk","Hyperion Cantos.pdf")</f>
        <v>Hyperion Cantos.pdf</v>
      </c>
      <c r="B1340" s="12" t="str">
        <f t="shared" si="190"/>
        <v>DriveAnon's 4chan Drive/2. EVERYONE ELSE'S JUMPS/2. Complete but need image work/F-K Jumps</v>
      </c>
    </row>
    <row r="1341">
      <c r="A1341" s="12" t="str">
        <f>HYPERLINK("https://drive.google.com/file/d/1mi0X9JaMF2NhVgT0c-wL6UgEK2OOBwVl/view?usp=drivesdk","How Heavy Are The Dumbbells You Lift.pdf")</f>
        <v>How Heavy Are The Dumbbells You Lift.pdf</v>
      </c>
      <c r="B1341" s="12" t="str">
        <f t="shared" si="190"/>
        <v>DriveAnon's 4chan Drive/2. EVERYONE ELSE'S JUMPS/2. Complete but need image work/F-K Jumps</v>
      </c>
    </row>
    <row r="1342">
      <c r="A1342" s="12" t="str">
        <f>HYPERLINK("https://drive.google.com/file/d/1BDBeob8gmQfjkaGNY3kRG1o0dFXAmGEU/view?usp=drivesdk","Fantasy Life.pdf")</f>
        <v>Fantasy Life.pdf</v>
      </c>
      <c r="B1342" s="12" t="str">
        <f t="shared" si="190"/>
        <v>DriveAnon's 4chan Drive/2. EVERYONE ELSE'S JUMPS/2. Complete but need image work/F-K Jumps</v>
      </c>
    </row>
    <row r="1343">
      <c r="A1343" s="12" t="str">
        <f>HYPERLINK("https://drive.google.com/file/d/1FxxuQykH5kpGlzDXTC5ncdAMbraR-dEy/view?usp=drivesdk","Kult.pdf")</f>
        <v>Kult.pdf</v>
      </c>
      <c r="B1343" s="12" t="str">
        <f t="shared" si="190"/>
        <v>DriveAnon's 4chan Drive/2. EVERYONE ELSE'S JUMPS/2. Complete but need image work/F-K Jumps</v>
      </c>
    </row>
    <row r="1344">
      <c r="A1344" s="12" t="str">
        <f>HYPERLINK("https://drive.google.com/file/d/1TpaBwgmF19p7KTeo5hUct9cooohDBlIr/view?usp=drivesdk","Genshin Impact.pdf")</f>
        <v>Genshin Impact.pdf</v>
      </c>
      <c r="B1344" s="12" t="str">
        <f t="shared" si="190"/>
        <v>DriveAnon's 4chan Drive/2. EVERYONE ELSE'S JUMPS/2. Complete but need image work/F-K Jumps</v>
      </c>
    </row>
    <row r="1345">
      <c r="A1345" s="12" t="str">
        <f>HYPERLINK("https://drive.google.com/file/d/19ZejnITePHHkdJGuinxXDsTywTkv3GhI/view?usp=drivesdk","Half Minute Hero.pdf")</f>
        <v>Half Minute Hero.pdf</v>
      </c>
      <c r="B1345" s="12" t="str">
        <f t="shared" si="190"/>
        <v>DriveAnon's 4chan Drive/2. EVERYONE ELSE'S JUMPS/2. Complete but need image work/F-K Jumps</v>
      </c>
    </row>
    <row r="1346">
      <c r="A1346" s="12" t="str">
        <f>HYPERLINK("https://drive.google.com/file/d/180XLq-MzmzexK9FeAEn3YXNKyxm3Ulzp/view?usp=drivesdk","Initial D.pdf")</f>
        <v>Initial D.pdf</v>
      </c>
      <c r="B1346" s="12" t="str">
        <f t="shared" si="190"/>
        <v>DriveAnon's 4chan Drive/2. EVERYONE ELSE'S JUMPS/2. Complete but need image work/F-K Jumps</v>
      </c>
    </row>
    <row r="1347">
      <c r="A1347" s="12" t="str">
        <f>HYPERLINK("https://drive.google.com/file/d/1I-dK8FS7dKpK_FqVGq547GxQmFItjHcv/view?usp=drivesdk","Fire Force.pdf")</f>
        <v>Fire Force.pdf</v>
      </c>
      <c r="B1347" s="12" t="str">
        <f t="shared" si="190"/>
        <v>DriveAnon's 4chan Drive/2. EVERYONE ELSE'S JUMPS/2. Complete but need image work/F-K Jumps</v>
      </c>
    </row>
    <row r="1348">
      <c r="A1348" s="12" t="str">
        <f>HYPERLINK("https://drive.google.com/file/d/1TXvXyX15kdiieiB9Bf5PpEnnmuT-0nEw/view?usp=drivesdk","Krabat.pdf")</f>
        <v>Krabat.pdf</v>
      </c>
      <c r="B1348" s="12" t="str">
        <f t="shared" si="190"/>
        <v>DriveAnon's 4chan Drive/2. EVERYONE ELSE'S JUMPS/2. Complete but need image work/F-K Jumps</v>
      </c>
    </row>
    <row r="1349">
      <c r="A1349" s="12" t="str">
        <f>HYPERLINK("https://drive.google.com/file/d/14keqek5HHEdD5OCLzHvqdPnsM9-p3TT_/view?usp=drivesdk","Jin Roh.pdf")</f>
        <v>Jin Roh.pdf</v>
      </c>
      <c r="B1349" s="12" t="str">
        <f t="shared" si="190"/>
        <v>DriveAnon's 4chan Drive/2. EVERYONE ELSE'S JUMPS/2. Complete but need image work/F-K Jumps</v>
      </c>
    </row>
    <row r="1350">
      <c r="A1350" s="12" t="str">
        <f>HYPERLINK("https://drive.google.com/file/d/1dBkhgg8Xj7tZcgHGtDTbxkBc-5ZLacSg/view?usp=drivesdk","Harem Kingdom.pdf")</f>
        <v>Harem Kingdom.pdf</v>
      </c>
      <c r="B1350" s="12" t="str">
        <f t="shared" si="190"/>
        <v>DriveAnon's 4chan Drive/2. EVERYONE ELSE'S JUMPS/2. Complete but need image work/F-K Jumps</v>
      </c>
    </row>
    <row r="1351">
      <c r="A1351" s="12" t="str">
        <f>HYPERLINK("https://drive.google.com/file/d/17UzDH01sczLJNbHHjElKkBT8nNRgC44K/view?usp=drivesdk","I Shall Seal The Heavens.pdf")</f>
        <v>I Shall Seal The Heavens.pdf</v>
      </c>
      <c r="B1351" s="12" t="str">
        <f t="shared" si="190"/>
        <v>DriveAnon's 4chan Drive/2. EVERYONE ELSE'S JUMPS/2. Complete but need image work/F-K Jumps</v>
      </c>
    </row>
    <row r="1352">
      <c r="A1352" s="12" t="str">
        <f>HYPERLINK("https://drive.google.com/file/d/1S6q4BhAnpYqS5QXzC0N-LAMjOc7piI9E/view?usp=drivesdk","I Was Caught Up In A Hero Summoning, But That World Is At Peace.pdf")</f>
        <v>I Was Caught Up In A Hero Summoning, But That World Is At Peace.pdf</v>
      </c>
      <c r="B1352" s="12" t="str">
        <f t="shared" si="190"/>
        <v>DriveAnon's 4chan Drive/2. EVERYONE ELSE'S JUMPS/2. Complete but need image work/F-K Jumps</v>
      </c>
    </row>
    <row r="1353">
      <c r="A1353" s="12" t="str">
        <f>HYPERLINK("https://drive.google.com/file/d/1cp40H979tuTWmYKzzp2tmUQwqlwIkHD2/view?usp=drivesdk","Illusion Of Gaia.pdf")</f>
        <v>Illusion Of Gaia.pdf</v>
      </c>
      <c r="B1353" s="12" t="str">
        <f t="shared" si="190"/>
        <v>DriveAnon's 4chan Drive/2. EVERYONE ELSE'S JUMPS/2. Complete but need image work/F-K Jumps</v>
      </c>
    </row>
    <row r="1354">
      <c r="A1354" s="12" t="str">
        <f>HYPERLINK("https://drive.google.com/file/d/1KPDoF8hl9QtJCtHuxqxwshoyYS5JtuEr/view?usp=drivesdk","Heroes Of The Storm.pdf")</f>
        <v>Heroes Of The Storm.pdf</v>
      </c>
      <c r="B1354" s="12" t="str">
        <f t="shared" si="190"/>
        <v>DriveAnon's 4chan Drive/2. EVERYONE ELSE'S JUMPS/2. Complete but need image work/F-K Jumps</v>
      </c>
    </row>
    <row r="1355">
      <c r="A1355" s="12" t="str">
        <f>HYPERLINK("https://drive.google.com/file/d/1N8XZqqBhoJLE0x2O3A_vqzE-soIfReyd/view?usp=drivesdk","Glee (TV Series).pdf")</f>
        <v>Glee (TV Series).pdf</v>
      </c>
      <c r="B1355" s="12" t="str">
        <f t="shared" si="190"/>
        <v>DriveAnon's 4chan Drive/2. EVERYONE ELSE'S JUMPS/2. Complete but need image work/F-K Jumps</v>
      </c>
    </row>
    <row r="1356">
      <c r="A1356" s="12" t="str">
        <f>HYPERLINK("https://drive.google.com/file/d/1oyDtSlOT3Hi4y1CtRq10pw5yRCCeDjMN/view?usp=drivesdk","Floornight.pdf")</f>
        <v>Floornight.pdf</v>
      </c>
      <c r="B1356" s="12" t="str">
        <f t="shared" si="190"/>
        <v>DriveAnon's 4chan Drive/2. EVERYONE ELSE'S JUMPS/2. Complete but need image work/F-K Jumps</v>
      </c>
    </row>
    <row r="1357">
      <c r="A1357" s="12" t="str">
        <f>HYPERLINK("https://drive.google.com/file/d/1RSa8-sELop4XT8ygj-BJILP751eWGhWh/view?usp=drivesdk","Godbound.pdf")</f>
        <v>Godbound.pdf</v>
      </c>
      <c r="B1357" s="12" t="str">
        <f t="shared" si="190"/>
        <v>DriveAnon's 4chan Drive/2. EVERYONE ELSE'S JUMPS/2. Complete but need image work/F-K Jumps</v>
      </c>
    </row>
    <row r="1358">
      <c r="A1358" s="12" t="str">
        <f>HYPERLINK("https://drive.google.com/file/d/1_kd-eCx0tDTNN48v-YfxK9ku3LYhgZrn/view?usp=drivesdk","Knights of the Dinner Table.pdf")</f>
        <v>Knights of the Dinner Table.pdf</v>
      </c>
      <c r="B1358" s="12" t="str">
        <f t="shared" si="190"/>
        <v>DriveAnon's 4chan Drive/2. EVERYONE ELSE'S JUMPS/2. Complete but need image work/F-K Jumps</v>
      </c>
    </row>
    <row r="1359">
      <c r="A1359" s="12" t="str">
        <f>HYPERLINK("https://drive.google.com/file/d/1Ulg8yN7elMJ5kCq2JQu_MZ7OuEIj9VJ5/view?usp=drivesdk","Highlander.pdf")</f>
        <v>Highlander.pdf</v>
      </c>
      <c r="B1359" s="12" t="str">
        <f t="shared" si="190"/>
        <v>DriveAnon's 4chan Drive/2. EVERYONE ELSE'S JUMPS/2. Complete but need image work/F-K Jumps</v>
      </c>
    </row>
    <row r="1360">
      <c r="A1360" s="12" t="str">
        <f>HYPERLINK("https://drive.google.com/file/d/1lDETN93MKTFxnENHoWCxzEuq1SGhiMyr/view?usp=drivesdk","Kurenai.pdf")</f>
        <v>Kurenai.pdf</v>
      </c>
      <c r="B1360" s="12" t="str">
        <f t="shared" si="190"/>
        <v>DriveAnon's 4chan Drive/2. EVERYONE ELSE'S JUMPS/2. Complete but need image work/F-K Jumps</v>
      </c>
    </row>
    <row r="1361">
      <c r="A1361" s="12" t="str">
        <f>HYPERLINK("https://drive.google.com/file/d/14S5tuyk-KG6i6WKzG_GtJdq5VzQeeq_Q/view?usp=drivesdk","How To Get Away With Murder.pdf")</f>
        <v>How To Get Away With Murder.pdf</v>
      </c>
      <c r="B1361" s="12" t="str">
        <f t="shared" si="190"/>
        <v>DriveAnon's 4chan Drive/2. EVERYONE ELSE'S JUMPS/2. Complete but need image work/F-K Jumps</v>
      </c>
    </row>
    <row r="1362">
      <c r="A1362" s="12" t="str">
        <f>HYPERLINK("https://drive.google.com/file/d/1sf4OrvN-PVLf5lvmkNw207S2XB7t5s6R/view?usp=drivesdk","Greedfall.pdf")</f>
        <v>Greedfall.pdf</v>
      </c>
      <c r="B1362" s="12" t="str">
        <f t="shared" si="190"/>
        <v>DriveAnon's 4chan Drive/2. EVERYONE ELSE'S JUMPS/2. Complete but need image work/F-K Jumps</v>
      </c>
    </row>
    <row r="1363">
      <c r="A1363" s="12" t="str">
        <f>HYPERLINK("https://drive.google.com/file/d/1SkZUaP_LFPij9OdqHFGdGnBYirqbGEGy/view?usp=drivesdk","Jigokuraku.pdf")</f>
        <v>Jigokuraku.pdf</v>
      </c>
      <c r="B1363" s="12" t="str">
        <f t="shared" si="190"/>
        <v>DriveAnon's 4chan Drive/2. EVERYONE ELSE'S JUMPS/2. Complete but need image work/F-K Jumps</v>
      </c>
    </row>
    <row r="1364">
      <c r="A1364" s="12" t="str">
        <f>HYPERLINK("https://drive.google.com/file/d/1B2WIn1tooK_k81Ff0bO8Bsr9-JqUqP9s/view?usp=drivesdk","ICBM - The Global Conflict.pdf")</f>
        <v>ICBM - The Global Conflict.pdf</v>
      </c>
      <c r="B1364" s="12" t="str">
        <f t="shared" si="190"/>
        <v>DriveAnon's 4chan Drive/2. EVERYONE ELSE'S JUMPS/2. Complete but need image work/F-K Jumps</v>
      </c>
    </row>
    <row r="1365">
      <c r="A1365" s="12" t="str">
        <f>HYPERLINK("https://drive.google.com/file/d/1WUVc8BSEqpvzI3qAAhFiMyyi5zRoa0In/view?usp=drivesdk","Heaven’s Lost Property.pdf")</f>
        <v>Heaven’s Lost Property.pdf</v>
      </c>
      <c r="B1365" s="12" t="str">
        <f t="shared" si="190"/>
        <v>DriveAnon's 4chan Drive/2. EVERYONE ELSE'S JUMPS/2. Complete but need image work/F-K Jumps</v>
      </c>
    </row>
    <row r="1366">
      <c r="A1366" s="12" t="str">
        <f>HYPERLINK("https://drive.google.com/file/d/1ljt20jCQxjOQL2V5kELfD5ZwIochszox/view?usp=drivesdk","Girl's Frontline JumpChain.pdf")</f>
        <v>Girl's Frontline JumpChain.pdf</v>
      </c>
      <c r="B1366" s="12" t="str">
        <f t="shared" si="190"/>
        <v>DriveAnon's 4chan Drive/2. EVERYONE ELSE'S JUMPS/2. Complete but need image work/F-K Jumps</v>
      </c>
    </row>
    <row r="1367">
      <c r="A1367" s="12" t="str">
        <f>HYPERLINK("https://drive.google.com/file/d/1SuPC-vv1I6m39s1FP1G_5HVDKeSOV20v/view?usp=drivesdk","Gravity Rush JumpChain.pdf")</f>
        <v>Gravity Rush JumpChain.pdf</v>
      </c>
      <c r="B1367" s="12" t="str">
        <f t="shared" si="190"/>
        <v>DriveAnon's 4chan Drive/2. EVERYONE ELSE'S JUMPS/2. Complete but need image work/F-K Jumps</v>
      </c>
    </row>
    <row r="1368">
      <c r="A1368" s="12" t="str">
        <f>HYPERLINK("https://drive.google.com/file/d/1Hj6nou9PYeHuVLaeOIlWgvrnAFzfC_OW/view?usp=drivesdk","Knights of Sidonia.pdf")</f>
        <v>Knights of Sidonia.pdf</v>
      </c>
      <c r="B1368" s="12" t="str">
        <f t="shared" si="190"/>
        <v>DriveAnon's 4chan Drive/2. EVERYONE ELSE'S JUMPS/2. Complete but need image work/F-K Jumps</v>
      </c>
    </row>
    <row r="1369">
      <c r="A1369" s="12" t="str">
        <f>HYPERLINK("https://drive.google.com/file/d/1Hdhr0ijNnB53zrlx6gCKwkgNUugjfQwp/view?usp=drivesdk","Five Star Stories.pdf")</f>
        <v>Five Star Stories.pdf</v>
      </c>
      <c r="B1369" s="12" t="str">
        <f t="shared" si="190"/>
        <v>DriveAnon's 4chan Drive/2. EVERYONE ELSE'S JUMPS/2. Complete but need image work/F-K Jumps</v>
      </c>
    </row>
    <row r="1370">
      <c r="A1370" s="12" t="str">
        <f>HYPERLINK("https://drive.google.com/file/d/1DYew69yiLKALO012qndgfvs72rWhA6tT/view?usp=drivesdk","Golden Sky Stories.pdf")</f>
        <v>Golden Sky Stories.pdf</v>
      </c>
      <c r="B1370" s="12" t="str">
        <f t="shared" si="190"/>
        <v>DriveAnon's 4chan Drive/2. EVERYONE ELSE'S JUMPS/2. Complete but need image work/F-K Jumps</v>
      </c>
    </row>
    <row r="1371">
      <c r="A1371" s="12" t="str">
        <f>HYPERLINK("https://drive.google.com/file/d/1x5mnQMThCl7X8yttG7cXr-aCOICTyJdK/view?usp=drivesdk","Killjoys - Season 1.pdf")</f>
        <v>Killjoys - Season 1.pdf</v>
      </c>
      <c r="B1371" s="12" t="str">
        <f t="shared" si="190"/>
        <v>DriveAnon's 4chan Drive/2. EVERYONE ELSE'S JUMPS/2. Complete but need image work/F-K Jumps</v>
      </c>
    </row>
    <row r="1372">
      <c r="A1372" s="12" t="str">
        <f>HYPERLINK("https://drive.google.com/file/d/1wFgy6lmT7rY02B_TXZwnhv1f-t5C3UKg/view?usp=drivesdk","Hardcore Mecha.pdf")</f>
        <v>Hardcore Mecha.pdf</v>
      </c>
      <c r="B1372" s="12" t="str">
        <f t="shared" si="190"/>
        <v>DriveAnon's 4chan Drive/2. EVERYONE ELSE'S JUMPS/2. Complete but need image work/F-K Jumps</v>
      </c>
    </row>
    <row r="1373">
      <c r="A1373" s="12" t="str">
        <f>HYPERLINK("https://drive.google.com/file/d/1i5orsnr_z1Giz9Lhlbm-E2ktLMeJ3IDH/view?usp=drivesdk","Helldivers.pdf")</f>
        <v>Helldivers.pdf</v>
      </c>
      <c r="B1373" s="12" t="str">
        <f t="shared" si="190"/>
        <v>DriveAnon's 4chan Drive/2. EVERYONE ELSE'S JUMPS/2. Complete but need image work/F-K Jumps</v>
      </c>
    </row>
    <row r="1374">
      <c r="A1374" s="12" t="str">
        <f>HYPERLINK("https://drive.google.com/file/d/1iBRZoHNCN502QCuL-u9WjfiQbrNYqkRw/view?usp=drivesdk","Freddy vs Jason vs Ash.pdf")</f>
        <v>Freddy vs Jason vs Ash.pdf</v>
      </c>
      <c r="B1374" s="12" t="str">
        <f t="shared" si="190"/>
        <v>DriveAnon's 4chan Drive/2. EVERYONE ELSE'S JUMPS/2. Complete but need image work/F-K Jumps</v>
      </c>
    </row>
    <row r="1375">
      <c r="A1375" s="12" t="str">
        <f>HYPERLINK("https://drive.google.com/file/d/1sPnVNBohti2N_TMrI8vz0k5cj3uXJfNZ/view?usp=drivesdk","Factorio.pdf")</f>
        <v>Factorio.pdf</v>
      </c>
      <c r="B1375" s="12" t="str">
        <f t="shared" si="190"/>
        <v>DriveAnon's 4chan Drive/2. EVERYONE ELSE'S JUMPS/2. Complete but need image work/F-K Jumps</v>
      </c>
    </row>
    <row r="1376">
      <c r="A1376" s="12" t="str">
        <f>HYPERLINK("https://drive.google.com/file/d/1Ops1m2dt_v_KtkBKG_EsX37SHKfpZwxv/view?usp=drivesdk","Heat Signature.pdf")</f>
        <v>Heat Signature.pdf</v>
      </c>
      <c r="B1376" s="12" t="str">
        <f t="shared" si="190"/>
        <v>DriveAnon's 4chan Drive/2. EVERYONE ELSE'S JUMPS/2. Complete but need image work/F-K Jumps</v>
      </c>
    </row>
    <row r="1377">
      <c r="A1377" s="12" t="str">
        <f>HYPERLINK("https://drive.google.com/file/d/18aQmn0_hVD__JakxFoGKojIW_z8Bk3OO/view?usp=drivesdk","Gonna Be The Twin-Tail JumpChain.pdf")</f>
        <v>Gonna Be The Twin-Tail JumpChain.pdf</v>
      </c>
      <c r="B1377" s="12" t="str">
        <f t="shared" si="190"/>
        <v>DriveAnon's 4chan Drive/2. EVERYONE ELSE'S JUMPS/2. Complete but need image work/F-K Jumps</v>
      </c>
    </row>
    <row r="1378">
      <c r="A1378" s="12" t="str">
        <f>HYPERLINK("https://drive.google.com/file/d/1O_8xyBAmhFXkPJsJOMdTD1gPJmdCrC5m/view?usp=drivesdk","Hellstar Remina JumpChain.pdf")</f>
        <v>Hellstar Remina JumpChain.pdf</v>
      </c>
      <c r="B1378" s="12" t="str">
        <f t="shared" si="190"/>
        <v>DriveAnon's 4chan Drive/2. EVERYONE ELSE'S JUMPS/2. Complete but need image work/F-K Jumps</v>
      </c>
    </row>
    <row r="1379">
      <c r="A1379" s="12" t="str">
        <f>HYPERLINK("https://drive.google.com/file/d/1agvKH0haaTyp43wT11EqqL5rKWIfmvSd/view?usp=drivesdk","Flip Flappers JumpChain.pdf")</f>
        <v>Flip Flappers JumpChain.pdf</v>
      </c>
      <c r="B1379" s="12" t="str">
        <f t="shared" si="190"/>
        <v>DriveAnon's 4chan Drive/2. EVERYONE ELSE'S JUMPS/2. Complete but need image work/F-K Jumps</v>
      </c>
    </row>
    <row r="1380">
      <c r="A1380" s="12" t="str">
        <f>HYPERLINK("https://drive.google.com/file/d/1hHwPO9aHBGypZiYkkWEnGVVaPPC6oFCD/view?usp=drivesdk","In Another World With My Smartphone (Anime) JumpChain.pdf")</f>
        <v>In Another World With My Smartphone (Anime) JumpChain.pdf</v>
      </c>
      <c r="B1380" s="12" t="str">
        <f t="shared" si="190"/>
        <v>DriveAnon's 4chan Drive/2. EVERYONE ELSE'S JUMPS/2. Complete but need image work/F-K Jumps</v>
      </c>
    </row>
    <row r="1381">
      <c r="A1381" s="12" t="str">
        <f>HYPERLINK("https://drive.google.com/file/d/1hrGlWIgnz2lQF1HqNAPq54j3k7-q1fPh/view?usp=drivesdk","Kero Blaster JumpChain.pdf")</f>
        <v>Kero Blaster JumpChain.pdf</v>
      </c>
      <c r="B1381" s="12" t="str">
        <f t="shared" si="190"/>
        <v>DriveAnon's 4chan Drive/2. EVERYONE ELSE'S JUMPS/2. Complete but need image work/F-K Jumps</v>
      </c>
    </row>
    <row r="1382">
      <c r="A1382" s="12" t="str">
        <f>HYPERLINK("https://drive.google.com/file/d/1shcxdHFd7l4CuGA3jc9noZy2XdB5r2QW/view?usp=drivesdk","Hellboy (Cinematic) JumpChain.pdf")</f>
        <v>Hellboy (Cinematic) JumpChain.pdf</v>
      </c>
      <c r="B1382" s="12" t="str">
        <f t="shared" si="190"/>
        <v>DriveAnon's 4chan Drive/2. EVERYONE ELSE'S JUMPS/2. Complete but need image work/F-K Jumps</v>
      </c>
    </row>
    <row r="1383">
      <c r="A1383" s="12" t="str">
        <f>HYPERLINK("https://drive.google.com/file/d/1u_IDW7BFKJ8RgRYvHJ7ujETRbFERclo_/view?usp=drivesdk","Irredeemable JumpChain.pdf")</f>
        <v>Irredeemable JumpChain.pdf</v>
      </c>
      <c r="B1383" s="12" t="str">
        <f t="shared" si="190"/>
        <v>DriveAnon's 4chan Drive/2. EVERYONE ELSE'S JUMPS/2. Complete but need image work/F-K Jumps</v>
      </c>
    </row>
    <row r="1384">
      <c r="A1384" s="12" t="str">
        <f>HYPERLINK("https://drive.google.com/file/d/1-fkHpErT7zACqVVXDAJytTqTup4HgHUF/view?usp=drivesdk","Highschool of the Dead JumpChain.pdf")</f>
        <v>Highschool of the Dead JumpChain.pdf</v>
      </c>
      <c r="B1384" s="12" t="str">
        <f t="shared" si="190"/>
        <v>DriveAnon's 4chan Drive/2. EVERYONE ELSE'S JUMPS/2. Complete but need image work/F-K Jumps</v>
      </c>
    </row>
    <row r="1385">
      <c r="A1385" s="12" t="str">
        <f>HYPERLINK("https://drive.google.com/file/d/11NO4XdU46IWIQ2Gahfqvkh59dTVCyhcQ/view?usp=drivesdk","GTA JumpChain.pdf")</f>
        <v>GTA JumpChain.pdf</v>
      </c>
      <c r="B1385" s="12" t="str">
        <f t="shared" si="190"/>
        <v>DriveAnon's 4chan Drive/2. EVERYONE ELSE'S JUMPS/2. Complete but need image work/F-K Jumps</v>
      </c>
    </row>
    <row r="1386">
      <c r="A1386" s="12" t="str">
        <f>HYPERLINK("https://drive.google.com/file/d/12HjFailoASGrgd6ssa_E799RxX45R0Kk/view?usp=drivesdk","Gear Up JumpChain.pdf")</f>
        <v>Gear Up JumpChain.pdf</v>
      </c>
      <c r="B1386" s="12" t="str">
        <f t="shared" si="190"/>
        <v>DriveAnon's 4chan Drive/2. EVERYONE ELSE'S JUMPS/2. Complete but need image work/F-K Jumps</v>
      </c>
    </row>
    <row r="1387">
      <c r="A1387" s="12" t="str">
        <f>HYPERLINK("https://drive.google.com/file/d/149wXqUyuwZl8C20HiYJcawrW3DFDKw4R/view?usp=drivesdk","Fist of the North Star JumpChain.pdf")</f>
        <v>Fist of the North Star JumpChain.pdf</v>
      </c>
      <c r="B1387" s="12" t="str">
        <f t="shared" si="190"/>
        <v>DriveAnon's 4chan Drive/2. EVERYONE ELSE'S JUMPS/2. Complete but need image work/F-K Jumps</v>
      </c>
    </row>
    <row r="1388">
      <c r="A1388" s="12" t="str">
        <f>HYPERLINK("https://drive.google.com/file/d/14j4yCfripuRw0bRYVcBlmIT4i9hqvCgR/view?usp=drivesdk","Hotline Miami JumpChain - Copy.pdf")</f>
        <v>Hotline Miami JumpChain - Copy.pdf</v>
      </c>
      <c r="B1388" s="12" t="str">
        <f t="shared" si="190"/>
        <v>DriveAnon's 4chan Drive/2. EVERYONE ELSE'S JUMPS/2. Complete but need image work/F-K Jumps</v>
      </c>
    </row>
    <row r="1389">
      <c r="A1389" s="12" t="str">
        <f>HYPERLINK("https://drive.google.com/file/d/14yXtQYL-K0xzIQqZwiAeYHudel96gP38/view?usp=drivesdk","Infinite Stratos JumpChain.pdf")</f>
        <v>Infinite Stratos JumpChain.pdf</v>
      </c>
      <c r="B1389" s="12" t="str">
        <f t="shared" si="190"/>
        <v>DriveAnon's 4chan Drive/2. EVERYONE ELSE'S JUMPS/2. Complete but need image work/F-K Jumps</v>
      </c>
    </row>
    <row r="1390">
      <c r="A1390" s="12" t="str">
        <f>HYPERLINK("https://drive.google.com/file/d/16nNRquKBn3VXTcqqhzYESoaJHsCVOVmy/view?usp=drivesdk","Killer7 JumpChain.pdf")</f>
        <v>Killer7 JumpChain.pdf</v>
      </c>
      <c r="B1390" s="12" t="str">
        <f t="shared" si="190"/>
        <v>DriveAnon's 4chan Drive/2. EVERYONE ELSE'S JUMPS/2. Complete but need image work/F-K Jumps</v>
      </c>
    </row>
    <row r="1391">
      <c r="A1391" s="12" t="str">
        <f>HYPERLINK("https://drive.google.com/file/d/17BTzOZFB81qz1fnPZ3WPcnWIloVE1Wnz/view?usp=drivesdk","Girls und Panzer JumpChain.pdf")</f>
        <v>Girls und Panzer JumpChain.pdf</v>
      </c>
      <c r="B1391" s="12" t="str">
        <f t="shared" si="190"/>
        <v>DriveAnon's 4chan Drive/2. EVERYONE ELSE'S JUMPS/2. Complete but need image work/F-K Jumps</v>
      </c>
    </row>
    <row r="1392">
      <c r="A1392" s="12" t="str">
        <f>HYPERLINK("https://drive.google.com/file/d/1EOmuK5VwK3ngkMyplS-jeUMtj8xOBVnW/view?usp=drivesdk","Inheritance Cycle JumpChain.pdf")</f>
        <v>Inheritance Cycle JumpChain.pdf</v>
      </c>
      <c r="B1392" s="12" t="str">
        <f t="shared" si="190"/>
        <v>DriveAnon's 4chan Drive/2. EVERYONE ELSE'S JUMPS/2. Complete but need image work/F-K Jumps</v>
      </c>
    </row>
    <row r="1393">
      <c r="A1393" s="12" t="str">
        <f>HYPERLINK("https://drive.google.com/file/d/1HgZfJ4HkvBhmaFMReG-wNJhtVnQJsZ8t/view?usp=drivesdk","Full Metal Panic! JumpChain.pdf")</f>
        <v>Full Metal Panic! JumpChain.pdf</v>
      </c>
      <c r="B1393" s="12" t="str">
        <f t="shared" si="190"/>
        <v>DriveAnon's 4chan Drive/2. EVERYONE ELSE'S JUMPS/2. Complete but need image work/F-K Jumps</v>
      </c>
    </row>
    <row r="1394">
      <c r="A1394" s="12" t="str">
        <f>HYPERLINK("https://drive.google.com/file/d/1IWmO9eaQCnEUEtXYINUoetzNU3SM2srY/view?usp=drivesdk","Hive Queen Quest JumpChain.pdf")</f>
        <v>Hive Queen Quest JumpChain.pdf</v>
      </c>
      <c r="B1394" s="12" t="str">
        <f t="shared" si="190"/>
        <v>DriveAnon's 4chan Drive/2. EVERYONE ELSE'S JUMPS/2. Complete but need image work/F-K Jumps</v>
      </c>
    </row>
    <row r="1395">
      <c r="A1395" s="12" t="str">
        <f>HYPERLINK("https://drive.google.com/file/d/1O9PxxRo2B9Q8-JhZsXJLLwspzxXvwbWc/view?usp=drivesdk","It_s Always Sunny In Philadelphia Jumpable 2017-07-03.pdf")</f>
        <v>It_s Always Sunny In Philadelphia Jumpable 2017-07-03.pdf</v>
      </c>
      <c r="B1395" s="12" t="str">
        <f t="shared" si="190"/>
        <v>DriveAnon's 4chan Drive/2. EVERYONE ELSE'S JUMPS/2. Complete but need image work/F-K Jumps</v>
      </c>
    </row>
    <row r="1396">
      <c r="A1396" s="12" t="str">
        <f>HYPERLINK("https://drive.google.com/file/d/1OHvDwHKcwyomICAzRYvvlHEk7453O_TD/view?usp=drivesdk","Hamtaro JumpChain.pdf")</f>
        <v>Hamtaro JumpChain.pdf</v>
      </c>
      <c r="B1396" s="12" t="str">
        <f t="shared" si="190"/>
        <v>DriveAnon's 4chan Drive/2. EVERYONE ELSE'S JUMPS/2. Complete but need image work/F-K Jumps</v>
      </c>
    </row>
    <row r="1397">
      <c r="A1397" s="12" t="str">
        <f>HYPERLINK("https://drive.google.com/file/d/1OhnM_KFYEB5M9eJWXnBsxrEk35AtNyE4/view?usp=drivesdk","Kung-Fu Panda JumpChain.pdf")</f>
        <v>Kung-Fu Panda JumpChain.pdf</v>
      </c>
      <c r="B1397" s="12" t="str">
        <f t="shared" si="190"/>
        <v>DriveAnon's 4chan Drive/2. EVERYONE ELSE'S JUMPS/2. Complete but need image work/F-K Jumps</v>
      </c>
    </row>
    <row r="1398">
      <c r="A1398" s="12" t="str">
        <f>HYPERLINK("https://drive.google.com/file/d/1QgXrn31w3DfQ57MBjJQy_Njr9QW_ywA2/view?usp=drivesdk","Histories Strongest Disciple Kenichi JumpChain.pdf")</f>
        <v>Histories Strongest Disciple Kenichi JumpChain.pdf</v>
      </c>
      <c r="B1398" s="12" t="str">
        <f t="shared" si="190"/>
        <v>DriveAnon's 4chan Drive/2. EVERYONE ELSE'S JUMPS/2. Complete but need image work/F-K Jumps</v>
      </c>
    </row>
    <row r="1399">
      <c r="A1399" s="12" t="str">
        <f>HYPERLINK("https://drive.google.com/file/d/1RZFNlEzWmnWMb5NqlBE2EqMlAOAbw3fj/view?usp=drivesdk","HELLGATELONDON JumpChain.pdf")</f>
        <v>HELLGATELONDON JumpChain.pdf</v>
      </c>
      <c r="B1399" s="12" t="str">
        <f t="shared" si="190"/>
        <v>DriveAnon's 4chan Drive/2. EVERYONE ELSE'S JUMPS/2. Complete but need image work/F-K Jumps</v>
      </c>
    </row>
    <row r="1400">
      <c r="A1400" s="12" t="str">
        <f>HYPERLINK("https://drive.google.com/file/d/1VwUX94ci4k-JjyqIqUIMW1XGZ6YBcaXu/view?usp=drivesdk","GATE Thus the JSDF fought there JumpChain.pdf")</f>
        <v>GATE Thus the JSDF fought there JumpChain.pdf</v>
      </c>
      <c r="B1400" s="12" t="str">
        <f t="shared" si="190"/>
        <v>DriveAnon's 4chan Drive/2. EVERYONE ELSE'S JUMPS/2. Complete but need image work/F-K Jumps</v>
      </c>
    </row>
    <row r="1401">
      <c r="A1401" s="12" t="str">
        <f>HYPERLINK("https://drive.google.com/file/d/1WAOC_Xanc-jn4ay-BPLDd9Fq-VnkHQd1/view?usp=drivesdk","Honorverse JumpChain.pdf")</f>
        <v>Honorverse JumpChain.pdf</v>
      </c>
      <c r="B1401" s="12" t="str">
        <f t="shared" si="190"/>
        <v>DriveAnon's 4chan Drive/2. EVERYONE ELSE'S JUMPS/2. Complete but need image work/F-K Jumps</v>
      </c>
    </row>
    <row r="1402">
      <c r="A1402" s="12" t="str">
        <f>HYPERLINK("https://drive.google.com/file/d/1WEqflUfflWLMQl2hGrlVvBremQnwC8V4/view?usp=drivesdk","G.I. Joe JumpChain.pdf")</f>
        <v>G.I. Joe JumpChain.pdf</v>
      </c>
      <c r="B1402" s="12" t="str">
        <f t="shared" si="190"/>
        <v>DriveAnon's 4chan Drive/2. EVERYONE ELSE'S JUMPS/2. Complete but need image work/F-K Jumps</v>
      </c>
    </row>
    <row r="1403">
      <c r="A1403" s="12" t="str">
        <f>HYPERLINK("https://drive.google.com/file/d/1Z2V8cczFV711xM2xKcA2xcTacE1hLIqT/view?usp=drivesdk","Fossil Fighters JumpChain.pdf")</f>
        <v>Fossil Fighters JumpChain.pdf</v>
      </c>
      <c r="B1403" s="12" t="str">
        <f t="shared" si="190"/>
        <v>DriveAnon's 4chan Drive/2. EVERYONE ELSE'S JUMPS/2. Complete but need image work/F-K Jumps</v>
      </c>
    </row>
    <row r="1404">
      <c r="A1404" s="12" t="str">
        <f>HYPERLINK("https://drive.google.com/file/d/1bzWEO5PcsIzFl8KN6LeLxMFUVbuZUVz-/view?usp=drivesdk","Farcry JumpChain.pdf")</f>
        <v>Farcry JumpChain.pdf</v>
      </c>
      <c r="B1404" s="12" t="str">
        <f t="shared" si="190"/>
        <v>DriveAnon's 4chan Drive/2. EVERYONE ELSE'S JUMPS/2. Complete but need image work/F-K Jumps</v>
      </c>
    </row>
    <row r="1405">
      <c r="A1405" s="12" t="str">
        <f>HYPERLINK("https://drive.google.com/file/d/1cNxBNbQcrd-2Bw-646rgqkRL7rXacGdi/view?usp=drivesdk","K-ON JumpChain.pdf")</f>
        <v>K-ON JumpChain.pdf</v>
      </c>
      <c r="B1405" s="12" t="str">
        <f t="shared" si="190"/>
        <v>DriveAnon's 4chan Drive/2. EVERYONE ELSE'S JUMPS/2. Complete but need image work/F-K Jumps</v>
      </c>
    </row>
    <row r="1406">
      <c r="A1406" s="12" t="str">
        <f>HYPERLINK("https://drive.google.com/file/d/1ghl8oQf0HYJ-KhlYjMpjqFkursOLcgNn/view?usp=drivesdk","Girls Bravo JumpChain.pdf")</f>
        <v>Girls Bravo JumpChain.pdf</v>
      </c>
      <c r="B1406" s="12" t="str">
        <f t="shared" si="190"/>
        <v>DriveAnon's 4chan Drive/2. EVERYONE ELSE'S JUMPS/2. Complete but need image work/F-K Jumps</v>
      </c>
    </row>
    <row r="1407">
      <c r="A1407" s="12" t="str">
        <f>HYPERLINK("https://drive.google.com/file/d/1hMXy87sUYiL3sEsjwkwxpiMfEXhafWKg/view?usp=drivesdk","Heroes jumpChain.pdf")</f>
        <v>Heroes jumpChain.pdf</v>
      </c>
      <c r="B1407" s="12" t="str">
        <f t="shared" si="190"/>
        <v>DriveAnon's 4chan Drive/2. EVERYONE ELSE'S JUMPS/2. Complete but need image work/F-K Jumps</v>
      </c>
    </row>
    <row r="1408">
      <c r="A1408" s="12" t="str">
        <f>HYPERLINK("https://drive.google.com/file/d/1pU98BvZmp0tkM2mv8_zrxKAZTCwjHzu7/view?usp=drivesdk","Kung Fu Hustle JumpChain.pdf")</f>
        <v>Kung Fu Hustle JumpChain.pdf</v>
      </c>
      <c r="B1408" s="12" t="str">
        <f t="shared" si="190"/>
        <v>DriveAnon's 4chan Drive/2. EVERYONE ELSE'S JUMPS/2. Complete but need image work/F-K Jumps</v>
      </c>
    </row>
    <row r="1409">
      <c r="A1409" s="12" t="str">
        <f>HYPERLINK("https://drive.google.com/file/d/1qulGlwbDZIiw4uISLufNxoRETIatRmJy/view?usp=drivesdk","Fable JumpChain.pdf")</f>
        <v>Fable JumpChain.pdf</v>
      </c>
      <c r="B1409" s="12" t="str">
        <f t="shared" si="190"/>
        <v>DriveAnon's 4chan Drive/2. EVERYONE ELSE'S JUMPS/2. Complete but need image work/F-K Jumps</v>
      </c>
    </row>
    <row r="1410">
      <c r="A1410" s="12" t="str">
        <f>HYPERLINK("https://drive.google.com/file/d/1t43z-GnLEgl8EYzBqzBZgB0dBQ6pw8Hd/view?usp=drivesdk","Food Wars_ Shokugeki no Souma JumpChain.pdf")</f>
        <v>Food Wars_ Shokugeki no Souma JumpChain.pdf</v>
      </c>
      <c r="B1410" s="12" t="str">
        <f t="shared" si="190"/>
        <v>DriveAnon's 4chan Drive/2. EVERYONE ELSE'S JUMPS/2. Complete but need image work/F-K Jumps</v>
      </c>
    </row>
    <row r="1411">
      <c r="A1411" s="12" t="str">
        <f>HYPERLINK("https://drive.google.com/file/d/1v5DrKB12RWemRYRpmMhYfKRkuLoKIsYv/view?usp=drivesdk","Greek Myth JumpChain.pdf")</f>
        <v>Greek Myth JumpChain.pdf</v>
      </c>
      <c r="B1411" s="12" t="str">
        <f t="shared" si="190"/>
        <v>DriveAnon's 4chan Drive/2. EVERYONE ELSE'S JUMPS/2. Complete but need image work/F-K Jumps</v>
      </c>
    </row>
    <row r="1412">
      <c r="A1412" s="12" t="str">
        <f>HYPERLINK("https://drive.google.com/file/d/1wz0e5I9MG2A_G_iX6g5RmvQc0QbNc-qU/view?usp=drivesdk","Kerbal Space Program Jumpchain.pdf")</f>
        <v>Kerbal Space Program Jumpchain.pdf</v>
      </c>
      <c r="B1412" s="12" t="str">
        <f t="shared" si="190"/>
        <v>DriveAnon's 4chan Drive/2. EVERYONE ELSE'S JUMPS/2. Complete but need image work/F-K Jumps</v>
      </c>
    </row>
    <row r="1413">
      <c r="A1413" s="12" t="str">
        <f>HYPERLINK("https://drive.google.com/file/d/1x44DAraC4uD_btJn8STEbfjsM0R3rQhP/view?usp=drivesdk","Gothic JumpChain.pdf")</f>
        <v>Gothic JumpChain.pdf</v>
      </c>
      <c r="B1413" s="12" t="str">
        <f t="shared" si="190"/>
        <v>DriveAnon's 4chan Drive/2. EVERYONE ELSE'S JUMPS/2. Complete but need image work/F-K Jumps</v>
      </c>
    </row>
    <row r="1414">
      <c r="A1414" s="12" t="str">
        <f>HYPERLINK("https://drive.google.com/file/d/1zlw1FRIc_WihNmNcgNvfdHlO1TcJgD05/view?usp=drivesdk","Jet Set Radio Future JumpChain.pdf")</f>
        <v>Jet Set Radio Future JumpChain.pdf</v>
      </c>
      <c r="B1414" s="12" t="str">
        <f t="shared" si="190"/>
        <v>DriveAnon's 4chan Drive/2. EVERYONE ELSE'S JUMPS/2. Complete but need image work/F-K Jumps</v>
      </c>
    </row>
    <row r="1415">
      <c r="A1415" s="12" t="str">
        <f>HYPERLINK("https://drive.google.com/file/d/1-6JtVzyCu0Rd_4KAhr0xQZCFz7oZA7g4/view?usp=drivesdk","Gravity Falls JumpChain.pdf")</f>
        <v>Gravity Falls JumpChain.pdf</v>
      </c>
      <c r="B1415" s="12" t="str">
        <f t="shared" si="190"/>
        <v>DriveAnon's 4chan Drive/2. EVERYONE ELSE'S JUMPS/2. Complete but need image work/F-K Jumps</v>
      </c>
    </row>
    <row r="1416">
      <c r="A1416" s="12" t="str">
        <f>HYPERLINK("https://drive.google.com/file/d/148dzIudx9A9PaF_7Ir3yKv3WGVxWP37E/view?usp=drivesdk","Journey to the West Jumpchain Finished.pdf")</f>
        <v>Journey to the West Jumpchain Finished.pdf</v>
      </c>
      <c r="B1416" s="12" t="str">
        <f t="shared" si="190"/>
        <v>DriveAnon's 4chan Drive/2. EVERYONE ELSE'S JUMPS/2. Complete but need image work/F-K Jumps</v>
      </c>
    </row>
    <row r="1417">
      <c r="A1417" s="12" t="str">
        <f>HYPERLINK("https://drive.google.com/file/d/178FfAzPFhVqyf_0T9bcA8tUQOTUe8Icj/view?usp=drivesdk","Kung Fury JumpChain.pdf")</f>
        <v>Kung Fury JumpChain.pdf</v>
      </c>
      <c r="B1417" s="12" t="str">
        <f t="shared" si="190"/>
        <v>DriveAnon's 4chan Drive/2. EVERYONE ELSE'S JUMPS/2. Complete but need image work/F-K Jumps</v>
      </c>
    </row>
    <row r="1418">
      <c r="A1418" s="12" t="str">
        <f>HYPERLINK("https://drive.google.com/file/d/19pkj9tA_pvYR8leUxV8u__bVGxdJ-M2J/view?usp=drivesdk","In Nomine JumpChain.pdf")</f>
        <v>In Nomine JumpChain.pdf</v>
      </c>
      <c r="B1418" s="12" t="str">
        <f t="shared" si="190"/>
        <v>DriveAnon's 4chan Drive/2. EVERYONE ELSE'S JUMPS/2. Complete but need image work/F-K Jumps</v>
      </c>
    </row>
    <row r="1419">
      <c r="A1419" s="12" t="str">
        <f>HYPERLINK("https://drive.google.com/file/d/1C3uKisp4WhMaWUemu1_XRCBMGwyc_o-D/view?usp=drivesdk","Kekkai Sensen JumpChain.pdf")</f>
        <v>Kekkai Sensen JumpChain.pdf</v>
      </c>
      <c r="B1419" s="12" t="str">
        <f t="shared" si="190"/>
        <v>DriveAnon's 4chan Drive/2. EVERYONE ELSE'S JUMPS/2. Complete but need image work/F-K Jumps</v>
      </c>
    </row>
    <row r="1420">
      <c r="A1420" s="12" t="str">
        <f>HYPERLINK("https://drive.google.com/file/d/1CLSGAxUZMG-421wcXjHyuFR0ub2UEHJi/view?usp=drivesdk","Geneforge Jumpchain.pdf")</f>
        <v>Geneforge Jumpchain.pdf</v>
      </c>
      <c r="B1420" s="12" t="str">
        <f t="shared" si="190"/>
        <v>DriveAnon's 4chan Drive/2. EVERYONE ELSE'S JUMPS/2. Complete but need image work/F-K Jumps</v>
      </c>
    </row>
    <row r="1421">
      <c r="A1421" s="12" t="str">
        <f>HYPERLINK("https://drive.google.com/file/d/1EXyIAVtBiargncJX79d_6XquAs_KZMfp/view?usp=drivesdk","James Cameron_s Titanic JumpChain.pdf")</f>
        <v>James Cameron_s Titanic JumpChain.pdf</v>
      </c>
      <c r="B1421" s="12" t="str">
        <f t="shared" si="190"/>
        <v>DriveAnon's 4chan Drive/2. EVERYONE ELSE'S JUMPS/2. Complete but need image work/F-K Jumps</v>
      </c>
    </row>
    <row r="1422">
      <c r="A1422" s="12" t="str">
        <f>HYPERLINK("https://drive.google.com/file/d/1EfyFHJjOji3q5USnXHIEXm6zmhxWklkR/view?usp=drivesdk","FTL JumpChain.pdf")</f>
        <v>FTL JumpChain.pdf</v>
      </c>
      <c r="B1422" s="12" t="str">
        <f t="shared" si="190"/>
        <v>DriveAnon's 4chan Drive/2. EVERYONE ELSE'S JUMPS/2. Complete but need image work/F-K Jumps</v>
      </c>
    </row>
    <row r="1423">
      <c r="A1423" s="12" t="str">
        <f>HYPERLINK("https://drive.google.com/file/d/1GP_297jgWJuub55SC0as-qBAnutaz4jG/view?usp=drivesdk","Gonzo Journalism JumpChain.pdf")</f>
        <v>Gonzo Journalism JumpChain.pdf</v>
      </c>
      <c r="B1423" s="12" t="str">
        <f t="shared" si="190"/>
        <v>DriveAnon's 4chan Drive/2. EVERYONE ELSE'S JUMPS/2. Complete but need image work/F-K Jumps</v>
      </c>
    </row>
    <row r="1424">
      <c r="A1424" s="12" t="str">
        <f>HYPERLINK("https://drive.google.com/file/d/1HcTJFv5jt1Z8Zdyw3Bf9_5nOg5qpreoE/view?usp=drivesdk","Haroun and the Sea of Stories JumpChain.pdf")</f>
        <v>Haroun and the Sea of Stories JumpChain.pdf</v>
      </c>
      <c r="B1424" s="12" t="str">
        <f t="shared" si="190"/>
        <v>DriveAnon's 4chan Drive/2. EVERYONE ELSE'S JUMPS/2. Complete but need image work/F-K Jumps</v>
      </c>
    </row>
    <row r="1425">
      <c r="A1425" s="12" t="str">
        <f>HYPERLINK("https://drive.google.com/file/d/1M_laxd7ME1XFrjdoM3QNcgmidYwBw11E/view?usp=drivesdk","Killer Instinct JumpChain.pdf")</f>
        <v>Killer Instinct JumpChain.pdf</v>
      </c>
      <c r="B1425" s="12" t="str">
        <f t="shared" si="190"/>
        <v>DriveAnon's 4chan Drive/2. EVERYONE ELSE'S JUMPS/2. Complete but need image work/F-K Jumps</v>
      </c>
    </row>
    <row r="1426">
      <c r="A1426" s="12" t="str">
        <f>HYPERLINK("https://drive.google.com/file/d/1OIo39xED_MtTCopxItdl01cVGh2jfkTI/view?usp=drivesdk","Kakegurui - Compulsive Gambler JumpChain.pdf")</f>
        <v>Kakegurui - Compulsive Gambler JumpChain.pdf</v>
      </c>
      <c r="B1426" s="12" t="str">
        <f t="shared" si="190"/>
        <v>DriveAnon's 4chan Drive/2. EVERYONE ELSE'S JUMPS/2. Complete but need image work/F-K Jumps</v>
      </c>
    </row>
    <row r="1427">
      <c r="A1427" s="12" t="str">
        <f>HYPERLINK("https://drive.google.com/file/d/1OuNPZ7tbp1JyyiFxuIPIBd_jbCDRQ0Na/view?usp=drivesdk","Kids Next Door Jumpchain.pdf")</f>
        <v>Kids Next Door Jumpchain.pdf</v>
      </c>
      <c r="B1427" s="12" t="str">
        <f t="shared" si="190"/>
        <v>DriveAnon's 4chan Drive/2. EVERYONE ELSE'S JUMPS/2. Complete but need image work/F-K Jumps</v>
      </c>
    </row>
    <row r="1428">
      <c r="A1428" s="12" t="str">
        <f>HYPERLINK("https://drive.google.com/file/d/1VYlC6Pxq6nUpVGfquMvo8DEMQocFSQe2/view?usp=drivesdk","HunterXHunter JumpChain.pdf")</f>
        <v>HunterXHunter JumpChain.pdf</v>
      </c>
      <c r="B1428" s="12" t="str">
        <f t="shared" si="190"/>
        <v>DriveAnon's 4chan Drive/2. EVERYONE ELSE'S JUMPS/2. Complete but need image work/F-K Jumps</v>
      </c>
    </row>
    <row r="1429">
      <c r="A1429" s="12" t="str">
        <f>HYPERLINK("https://drive.google.com/file/d/1W57IFZIVYO2gpJtWITCx5t0Y-59wvC3g/view?usp=drivesdk","Heathers The Musical JumpChain.pdf")</f>
        <v>Heathers The Musical JumpChain.pdf</v>
      </c>
      <c r="B1429" s="12" t="str">
        <f t="shared" si="190"/>
        <v>DriveAnon's 4chan Drive/2. EVERYONE ELSE'S JUMPS/2. Complete but need image work/F-K Jumps</v>
      </c>
    </row>
    <row r="1430">
      <c r="A1430" s="12" t="str">
        <f>HYPERLINK("https://drive.google.com/file/d/1bq8fAhZptdgNFiF_4AWZe8ayzRyFIrZl/view?usp=drivesdk","KANTAI COLLECTION JUMPCHAIN.pdf")</f>
        <v>KANTAI COLLECTION JUMPCHAIN.pdf</v>
      </c>
      <c r="B1430" s="12" t="str">
        <f t="shared" si="190"/>
        <v>DriveAnon's 4chan Drive/2. EVERYONE ELSE'S JUMPS/2. Complete but need image work/F-K Jumps</v>
      </c>
    </row>
    <row r="1431">
      <c r="A1431" s="12" t="str">
        <f>HYPERLINK("https://drive.google.com/file/d/1eA08Yy097FUFn6lotdm7Itzo_RM_urbD/view?usp=drivesdk","Farscape JumpChain.pdf")</f>
        <v>Farscape JumpChain.pdf</v>
      </c>
      <c r="B1431" s="12" t="str">
        <f t="shared" si="190"/>
        <v>DriveAnon's 4chan Drive/2. EVERYONE ELSE'S JUMPS/2. Complete but need image work/F-K Jumps</v>
      </c>
    </row>
    <row r="1432">
      <c r="A1432" s="12" t="str">
        <f>HYPERLINK("https://drive.google.com/file/d/1eLOFRDkwbMFJ5GOQX-9jmDzrlZxQBk8l/view?usp=drivesdk","Killing Floor JumpChain.pdf")</f>
        <v>Killing Floor JumpChain.pdf</v>
      </c>
      <c r="B1432" s="12" t="str">
        <f t="shared" si="190"/>
        <v>DriveAnon's 4chan Drive/2. EVERYONE ELSE'S JUMPS/2. Complete but need image work/F-K Jumps</v>
      </c>
    </row>
    <row r="1433">
      <c r="A1433" s="12" t="str">
        <f>HYPERLINK("https://drive.google.com/file/d/1liU7tzq0NtFwbvGuVBIrCYhKauY7vIGI/view?usp=drivesdk","Is It Wrong To Try To Pick Up Girls In A Dungeon JumpChain.pdf")</f>
        <v>Is It Wrong To Try To Pick Up Girls In A Dungeon JumpChain.pdf</v>
      </c>
      <c r="B1433" s="12" t="str">
        <f t="shared" si="190"/>
        <v>DriveAnon's 4chan Drive/2. EVERYONE ELSE'S JUMPS/2. Complete but need image work/F-K Jumps</v>
      </c>
    </row>
    <row r="1434">
      <c r="A1434" s="12" t="str">
        <f>HYPERLINK("https://drive.google.com/file/d/1mome97d1nevO7QAh2REuu_-s2e1DlnkV/view?usp=drivesdk","GUNNM JumpChain.pdf")</f>
        <v>GUNNM JumpChain.pdf</v>
      </c>
      <c r="B1434" s="12" t="str">
        <f t="shared" si="190"/>
        <v>DriveAnon's 4chan Drive/2. EVERYONE ELSE'S JUMPS/2. Complete but need image work/F-K Jumps</v>
      </c>
    </row>
    <row r="1435">
      <c r="A1435" s="12" t="str">
        <f>HYPERLINK("https://drive.google.com/file/d/1nBvm9FLMZ0m8fWY9AKIU1BvSHl3ay3_S/view?usp=drivesdk","Inside Out JumpChain.pdf")</f>
        <v>Inside Out JumpChain.pdf</v>
      </c>
      <c r="B1435" s="12" t="str">
        <f t="shared" si="190"/>
        <v>DriveAnon's 4chan Drive/2. EVERYONE ELSE'S JUMPS/2. Complete but need image work/F-K Jumps</v>
      </c>
    </row>
    <row r="1436">
      <c r="A1436" s="12" t="str">
        <f>HYPERLINK("https://drive.google.com/file/d/1zq2Q7VbBzE-ke8SdgXaHNd905k6h4IVd/view?usp=drivesdk","Gargoyles JumpChain.pdf")</f>
        <v>Gargoyles JumpChain.pdf</v>
      </c>
      <c r="B1436" s="12" t="str">
        <f t="shared" si="190"/>
        <v>DriveAnon's 4chan Drive/2. EVERYONE ELSE'S JUMPS/2. Complete but need image work/F-K Jumps</v>
      </c>
    </row>
    <row r="1437">
      <c r="A1437" s="12" t="str">
        <f>HYPERLINK("https://drive.google.com/file/d/1zvkb15oZ0DTvtI5TVocvCUOi8bqj_ZNy/view?usp=drivesdk","Johnny Test JumpChain.pdf")</f>
        <v>Johnny Test JumpChain.pdf</v>
      </c>
      <c r="B1437" s="12" t="str">
        <f t="shared" si="190"/>
        <v>DriveAnon's 4chan Drive/2. EVERYONE ELSE'S JUMPS/2. Complete but need image work/F-K Jumps</v>
      </c>
    </row>
    <row r="1438">
      <c r="A1438" s="12" t="str">
        <f>HYPERLINK("https://drive.google.com/file/d/1-rvxpe3o6mT_gtaWJBXbKTL-bkY5yHli/view?usp=drivesdk","Infinity JumpChain.pdf")</f>
        <v>Infinity JumpChain.pdf</v>
      </c>
      <c r="B1438" s="12" t="str">
        <f t="shared" si="190"/>
        <v>DriveAnon's 4chan Drive/2. EVERYONE ELSE'S JUMPS/2. Complete but need image work/F-K Jumps</v>
      </c>
    </row>
    <row r="1439">
      <c r="A1439" s="12" t="str">
        <f>HYPERLINK("https://drive.google.com/file/d/1-zHTVOwjmOFnMW9S0k-KELstCaOu6hnt/view?usp=drivesdk","Jormungand JumpChain.pdf")</f>
        <v>Jormungand JumpChain.pdf</v>
      </c>
      <c r="B1439" s="12" t="str">
        <f t="shared" si="190"/>
        <v>DriveAnon's 4chan Drive/2. EVERYONE ELSE'S JUMPS/2. Complete but need image work/F-K Jumps</v>
      </c>
    </row>
    <row r="1440">
      <c r="A1440" s="12" t="str">
        <f>HYPERLINK("https://drive.google.com/file/d/12yjobk3L9dMGRPOJF9RFCKOCi-y66swV/view?usp=drivesdk","Killing Bites Jumpchain.pdf")</f>
        <v>Killing Bites Jumpchain.pdf</v>
      </c>
      <c r="B1440" s="12" t="str">
        <f t="shared" si="190"/>
        <v>DriveAnon's 4chan Drive/2. EVERYONE ELSE'S JUMPS/2. Complete but need image work/F-K Jumps</v>
      </c>
    </row>
    <row r="1441">
      <c r="A1441" s="12" t="str">
        <f>HYPERLINK("https://drive.google.com/file/d/1g7DPJ_vlBoHNWhvvRzepo0kVDPR0ao4Z/view?usp=drivesdk","Investigation JumpChain.pdf")</f>
        <v>Investigation JumpChain.pdf</v>
      </c>
      <c r="B1441" s="12" t="str">
        <f t="shared" si="190"/>
        <v>DriveAnon's 4chan Drive/2. EVERYONE ELSE'S JUMPS/2. Complete but need image work/F-K Jumps</v>
      </c>
    </row>
    <row r="1442">
      <c r="A1442" s="12" t="str">
        <f>HYPERLINK("https://drive.google.com/file/d/1k7GwyEY8_BdZ9uHhk9Qr8QkAo04OwSeQ/view?usp=drivesdk","Heroic Age JumpChain.pdf")</f>
        <v>Heroic Age JumpChain.pdf</v>
      </c>
      <c r="B1442" s="12" t="str">
        <f t="shared" si="190"/>
        <v>DriveAnon's 4chan Drive/2. EVERYONE ELSE'S JUMPS/2. Complete but need image work/F-K Jumps</v>
      </c>
    </row>
    <row r="1443">
      <c r="A1443" s="12" t="str">
        <f>HYPERLINK("https://drive.google.com/file/d/1pgwUJdsFUEx0zM33ECzI8HhDS4RKnmZo/view?usp=drivesdk","Kirby_s Dream Land JumpChain.pdf")</f>
        <v>Kirby_s Dream Land JumpChain.pdf</v>
      </c>
      <c r="B1443" s="12" t="str">
        <f t="shared" si="190"/>
        <v>DriveAnon's 4chan Drive/2. EVERYONE ELSE'S JUMPS/2. Complete but need image work/F-K Jumps</v>
      </c>
    </row>
    <row r="1444">
      <c r="A1444" s="12" t="str">
        <f>HYPERLINK("https://drive.google.com/file/d/1sRLCmXyIM_ZLSM7_V4H6JPjNMrrZMbNA/view?usp=drivesdk","Heist JumpChain.pdf")</f>
        <v>Heist JumpChain.pdf</v>
      </c>
      <c r="B1444" s="12" t="str">
        <f t="shared" si="190"/>
        <v>DriveAnon's 4chan Drive/2. EVERYONE ELSE'S JUMPS/2. Complete but need image work/F-K Jumps</v>
      </c>
    </row>
    <row r="1445">
      <c r="A1445" s="12" t="str">
        <f>HYPERLINK("https://drive.google.com/file/d/11U8eWmornkHV4E9MbMILsevTJQb6GB7g/view?usp=drivesdk","Goat Simulator Jumpchain.pdf")</f>
        <v>Goat Simulator Jumpchain.pdf</v>
      </c>
      <c r="B1445" s="12" t="str">
        <f t="shared" si="190"/>
        <v>DriveAnon's 4chan Drive/2. EVERYONE ELSE'S JUMPS/2. Complete but need image work/F-K Jumps</v>
      </c>
    </row>
    <row r="1446">
      <c r="A1446" s="12" t="str">
        <f>HYPERLINK("https://drive.google.com/file/d/12UYR_X2uumP6Nqpeql10q90IgKfDaiUM/view?usp=drivesdk","Harvest Moon JumpChain.pdf")</f>
        <v>Harvest Moon JumpChain.pdf</v>
      </c>
      <c r="B1446" s="12" t="str">
        <f t="shared" si="190"/>
        <v>DriveAnon's 4chan Drive/2. EVERYONE ELSE'S JUMPS/2. Complete but need image work/F-K Jumps</v>
      </c>
    </row>
    <row r="1447">
      <c r="A1447" s="12" t="str">
        <f>HYPERLINK("https://drive.google.com/file/d/14E9Co2PVpgMEHH6eUET8aAXc6V4Tlx5Z/view?usp=drivesdk","Ghost in the Shell JumpChain.pdf")</f>
        <v>Ghost in the Shell JumpChain.pdf</v>
      </c>
      <c r="B1447" s="12" t="str">
        <f t="shared" si="190"/>
        <v>DriveAnon's 4chan Drive/2. EVERYONE ELSE'S JUMPS/2. Complete but need image work/F-K Jumps</v>
      </c>
    </row>
    <row r="1448">
      <c r="A1448" s="12" t="str">
        <f>HYPERLINK("https://drive.google.com/file/d/183IEhEAYIQzyqXe9NCeY2nqaJYkopXaO/view?usp=drivesdk","Imaginary Friend JumpChain.pdf")</f>
        <v>Imaginary Friend JumpChain.pdf</v>
      </c>
      <c r="B1448" s="12" t="str">
        <f t="shared" si="190"/>
        <v>DriveAnon's 4chan Drive/2. EVERYONE ELSE'S JUMPS/2. Complete but need image work/F-K Jumps</v>
      </c>
    </row>
    <row r="1449">
      <c r="A1449" s="12" t="str">
        <f>HYPERLINK("https://drive.google.com/file/d/1AxU765wpP0LUsb714b3BaXvaSEd3is13/view?usp=drivesdk","Foodfight! JumpChain.pdf")</f>
        <v>Foodfight! JumpChain.pdf</v>
      </c>
      <c r="B1449" s="12" t="str">
        <f t="shared" si="190"/>
        <v>DriveAnon's 4chan Drive/2. EVERYONE ELSE'S JUMPS/2. Complete but need image work/F-K Jumps</v>
      </c>
    </row>
    <row r="1450">
      <c r="A1450" s="12" t="str">
        <f>HYPERLINK("https://drive.google.com/file/d/1HkqaQNKUUydokZNoT92zbr-L8BnuvtUR/view?usp=drivesdk","Kingdom of Loathing JumpChain.pdf")</f>
        <v>Kingdom of Loathing JumpChain.pdf</v>
      </c>
      <c r="B1450" s="12" t="str">
        <f t="shared" si="190"/>
        <v>DriveAnon's 4chan Drive/2. EVERYONE ELSE'S JUMPS/2. Complete but need image work/F-K Jumps</v>
      </c>
    </row>
    <row r="1451">
      <c r="A1451" s="12" t="str">
        <f>HYPERLINK("https://drive.google.com/file/d/1IgIoDw8WGjTF4O33zH6ljYS-lYgDZLIy/view?usp=drivesdk","Ghostbusters JumpChain.pdf")</f>
        <v>Ghostbusters JumpChain.pdf</v>
      </c>
      <c r="B1451" s="12" t="str">
        <f t="shared" si="190"/>
        <v>DriveAnon's 4chan Drive/2. EVERYONE ELSE'S JUMPS/2. Complete but need image work/F-K Jumps</v>
      </c>
    </row>
    <row r="1452">
      <c r="A1452" s="12" t="str">
        <f>HYPERLINK("https://drive.google.com/file/d/1J2D59AbYbaq8X3aFuJj5V8Xgud-vacvB/view?usp=drivesdk","I M Meen JumpChain.pdf")</f>
        <v>I M Meen JumpChain.pdf</v>
      </c>
      <c r="B1452" s="12" t="str">
        <f t="shared" si="190"/>
        <v>DriveAnon's 4chan Drive/2. EVERYONE ELSE'S JUMPS/2. Complete but need image work/F-K Jumps</v>
      </c>
    </row>
    <row r="1453">
      <c r="A1453" s="12" t="str">
        <f>HYPERLINK("https://drive.google.com/file/d/1KhvTxBWrWLDQJIKruL4O5iO1Q_bT4C8I/view?usp=drivesdk","Jade Cocoon JumpChain.pdf")</f>
        <v>Jade Cocoon JumpChain.pdf</v>
      </c>
      <c r="B1453" s="12" t="str">
        <f t="shared" si="190"/>
        <v>DriveAnon's 4chan Drive/2. EVERYONE ELSE'S JUMPS/2. Complete but need image work/F-K Jumps</v>
      </c>
    </row>
    <row r="1454">
      <c r="A1454" s="12" t="str">
        <f>HYPERLINK("https://drive.google.com/file/d/1L7lvhatuFyyahyALGqcssRYjt8WlvawJ/view?usp=drivesdk","Grim Fandango JumpChain.pdf")</f>
        <v>Grim Fandango JumpChain.pdf</v>
      </c>
      <c r="B1454" s="12" t="str">
        <f t="shared" si="190"/>
        <v>DriveAnon's 4chan Drive/2. EVERYONE ELSE'S JUMPS/2. Complete but need image work/F-K Jumps</v>
      </c>
    </row>
    <row r="1455">
      <c r="A1455" s="12" t="str">
        <f>HYPERLINK("https://drive.google.com/file/d/1UQM0u2TJpuXb2habb4Qs2mSpsh8UGWI1/view?usp=drivesdk","GUARDIANS of GAHOOLE JumpChain.pdf")</f>
        <v>GUARDIANS of GAHOOLE JumpChain.pdf</v>
      </c>
      <c r="B1455" s="12" t="str">
        <f t="shared" si="190"/>
        <v>DriveAnon's 4chan Drive/2. EVERYONE ELSE'S JUMPS/2. Complete but need image work/F-K Jumps</v>
      </c>
    </row>
    <row r="1456">
      <c r="A1456" s="12" t="str">
        <f>HYPERLINK("https://drive.google.com/file/d/1b5dLjcit_76_bAFTeJwhh0yMl8s5rUYi/view?usp=drivesdk","FLCL (Season 1) Jumpchain.pdf")</f>
        <v>FLCL (Season 1) Jumpchain.pdf</v>
      </c>
      <c r="B1456" s="12" t="str">
        <f t="shared" si="190"/>
        <v>DriveAnon's 4chan Drive/2. EVERYONE ELSE'S JUMPS/2. Complete but need image work/F-K Jumps</v>
      </c>
    </row>
    <row r="1457">
      <c r="A1457" s="12" t="str">
        <f>HYPERLINK("https://drive.google.com/file/d/1du02lgxtanmfssAnD8hTKCCkcwyqwUeE/view?usp=drivesdk","Half Life Jumpchain.pdf")</f>
        <v>Half Life Jumpchain.pdf</v>
      </c>
      <c r="B1457" s="12" t="str">
        <f t="shared" si="190"/>
        <v>DriveAnon's 4chan Drive/2. EVERYONE ELSE'S JUMPS/2. Complete but need image work/F-K Jumps</v>
      </c>
    </row>
    <row r="1458">
      <c r="A1458" s="12" t="str">
        <f>HYPERLINK("https://drive.google.com/file/d/1isgoZL-Su_MBCSehfYfmRt_eDnIgzsev/view?usp=drivesdk","J.C Avatar JumpChain.pdf")</f>
        <v>J.C Avatar JumpChain.pdf</v>
      </c>
      <c r="B1458" s="12" t="str">
        <f t="shared" si="190"/>
        <v>DriveAnon's 4chan Drive/2. EVERYONE ELSE'S JUMPS/2. Complete but need image work/F-K Jumps</v>
      </c>
    </row>
    <row r="1459">
      <c r="A1459" s="12" t="str">
        <f>HYPERLINK("https://drive.google.com/file/d/1lAggqdy7HhZZCfqmKcOJ_5kYq6m9zmEI/view?usp=drivesdk","God Of War Jumpchain.pdf")</f>
        <v>God Of War Jumpchain.pdf</v>
      </c>
      <c r="B1459" s="12" t="str">
        <f t="shared" si="190"/>
        <v>DriveAnon's 4chan Drive/2. EVERYONE ELSE'S JUMPS/2. Complete but need image work/F-K Jumps</v>
      </c>
    </row>
    <row r="1460">
      <c r="A1460" s="12" t="str">
        <f>HYPERLINK("https://drive.google.com/file/d/1mHKY8yQfVGNirPl4aTTD-QTq5xpfgScn/view?usp=drivesdk","Girlchan in Paradise JumpChain.pdf")</f>
        <v>Girlchan in Paradise JumpChain.pdf</v>
      </c>
      <c r="B1460" s="12" t="str">
        <f t="shared" si="190"/>
        <v>DriveAnon's 4chan Drive/2. EVERYONE ELSE'S JUMPS/2. Complete but need image work/F-K Jumps</v>
      </c>
    </row>
    <row r="1461">
      <c r="A1461" s="12" t="str">
        <f>HYPERLINK("https://drive.google.com/file/d/1rJBChy_UO9oSqsDwNE4m1UGhuM7nOoFe/view?usp=drivesdk","Indiana Jones JumpChain.pdf")</f>
        <v>Indiana Jones JumpChain.pdf</v>
      </c>
      <c r="B1461" s="12" t="str">
        <f t="shared" si="190"/>
        <v>DriveAnon's 4chan Drive/2. EVERYONE ELSE'S JUMPS/2. Complete but need image work/F-K Jumps</v>
      </c>
    </row>
    <row r="1462">
      <c r="A1462" s="12" t="str">
        <f>HYPERLINK("https://drive.google.com/file/d/1rKfQBojOz7TEVyy2AMCR6BwgzP7UbVhe/view?usp=drivesdk","InfiniCon JumpChain.pdf")</f>
        <v>InfiniCon JumpChain.pdf</v>
      </c>
      <c r="B1462" s="12" t="str">
        <f t="shared" si="190"/>
        <v>DriveAnon's 4chan Drive/2. EVERYONE ELSE'S JUMPS/2. Complete but need image work/F-K Jumps</v>
      </c>
    </row>
    <row r="1463">
      <c r="A1463" s="12" t="str">
        <f>HYPERLINK("https://drive.google.com/file/d/1uVNFqe6WhIdxYOSQX8W6bHv42mRbodzj/view?usp=drivesdk","Great Detective JumpChain.pdf")</f>
        <v>Great Detective JumpChain.pdf</v>
      </c>
      <c r="B1463" s="12" t="str">
        <f t="shared" si="190"/>
        <v>DriveAnon's 4chan Drive/2. EVERYONE ELSE'S JUMPS/2. Complete but need image work/F-K Jumps</v>
      </c>
    </row>
    <row r="1464">
      <c r="A1464" s="12" t="str">
        <f>HYPERLINK("https://drive.google.com/file/d/1wd1AZNgucITLCR7rmACdb9yDGLla82ar/view?usp=drivesdk","Girl Genius JumpChain.pdf")</f>
        <v>Girl Genius JumpChain.pdf</v>
      </c>
      <c r="B1464" s="12" t="str">
        <f t="shared" si="190"/>
        <v>DriveAnon's 4chan Drive/2. EVERYONE ELSE'S JUMPS/2. Complete but need image work/F-K Jumps</v>
      </c>
    </row>
    <row r="1465">
      <c r="A1465" s="12" t="str">
        <f>HYPERLINK("https://drive.google.com/file/d/1x3z9vFFw3oZM9IpXrqsMseHEd0xtiYFJ/view?usp=drivesdk","Jade Empire JumpChain.pdf")</f>
        <v>Jade Empire JumpChain.pdf</v>
      </c>
      <c r="B1465" s="12" t="str">
        <f t="shared" si="190"/>
        <v>DriveAnon's 4chan Drive/2. EVERYONE ELSE'S JUMPS/2. Complete but need image work/F-K Jumps</v>
      </c>
    </row>
    <row r="1466">
      <c r="A1466" s="12" t="str">
        <f>HYPERLINK("https://drive.google.com/file/d/1xzPnIA0PgMOxKzgARivdsvMTrEbyMfKu/view?usp=drivesdk","Kingdoms of Amalur- Reckoning JumpChain.pdf")</f>
        <v>Kingdoms of Amalur- Reckoning JumpChain.pdf</v>
      </c>
      <c r="B1466" s="12" t="str">
        <f t="shared" si="190"/>
        <v>DriveAnon's 4chan Drive/2. EVERYONE ELSE'S JUMPS/2. Complete but need image work/F-K Jumps</v>
      </c>
    </row>
    <row r="1467">
      <c r="A1467" s="12" t="str">
        <f>HYPERLINK("https://drive.google.com/file/d/1zJeO5XKlaiB5Ya4x6DMn-vAUOiC8y4an/view?usp=drivesdk","Garzey_s Wing JumpChain.pdf")</f>
        <v>Garzey_s Wing JumpChain.pdf</v>
      </c>
      <c r="B1467" s="12" t="str">
        <f t="shared" si="190"/>
        <v>DriveAnon's 4chan Drive/2. EVERYONE ELSE'S JUMPS/2. Complete but need image work/F-K Jumps</v>
      </c>
    </row>
    <row r="1468">
      <c r="A1468" s="12" t="str">
        <f>HYPERLINK("https://drive.google.com/file/d/1-rPAzVYGIC__z2u5q26dNMiNP65574oC/view?usp=drivesdk","How A Realist Hero Rebuilt The Kingdom JumpChain.pdf")</f>
        <v>How A Realist Hero Rebuilt The Kingdom JumpChain.pdf</v>
      </c>
      <c r="B1468" s="12" t="str">
        <f t="shared" si="190"/>
        <v>DriveAnon's 4chan Drive/2. EVERYONE ELSE'S JUMPS/2. Complete but need image work/F-K Jumps</v>
      </c>
    </row>
    <row r="1469">
      <c r="A1469" s="12" t="str">
        <f>HYPERLINK("https://drive.google.com/file/d/12nU5nuBc3kPno80gYwcRyq-bXwbTuXLh/view?usp=drivesdk","Familiar of Zero JumpChain.pdf")</f>
        <v>Familiar of Zero JumpChain.pdf</v>
      </c>
      <c r="B1469" s="12" t="str">
        <f t="shared" si="190"/>
        <v>DriveAnon's 4chan Drive/2. EVERYONE ELSE'S JUMPS/2. Complete but need image work/F-K Jumps</v>
      </c>
    </row>
    <row r="1470">
      <c r="A1470" s="12" t="str">
        <f>HYPERLINK("https://drive.google.com/file/d/15AUK8uT0rjubUAsm-w_OjjON8zWZTb3M/view?usp=drivesdk","Jinrui wa Suitai Shimashita JumpChain.pdf")</f>
        <v>Jinrui wa Suitai Shimashita JumpChain.pdf</v>
      </c>
      <c r="B1470" s="12" t="str">
        <f t="shared" si="190"/>
        <v>DriveAnon's 4chan Drive/2. EVERYONE ELSE'S JUMPS/2. Complete but need image work/F-K Jumps</v>
      </c>
    </row>
    <row r="1471">
      <c r="A1471" s="12" t="str">
        <f>HYPERLINK("https://drive.google.com/file/d/16lzzUGvxRV7xgmjoHViQCMsG4MQjpR1t/view?usp=drivesdk","F.E.A.R. JumpChain.pdf")</f>
        <v>F.E.A.R. JumpChain.pdf</v>
      </c>
      <c r="B1471" s="12" t="str">
        <f t="shared" si="190"/>
        <v>DriveAnon's 4chan Drive/2. EVERYONE ELSE'S JUMPS/2. Complete but need image work/F-K Jumps</v>
      </c>
    </row>
    <row r="1472">
      <c r="A1472" s="12" t="str">
        <f>HYPERLINK("https://drive.google.com/file/d/19NcRvHyMH4-EoUwDFgb6iHR76_bfRfYv/view?usp=drivesdk","Jobless In Another World JumpChain.pdf")</f>
        <v>Jobless In Another World JumpChain.pdf</v>
      </c>
      <c r="B1472" s="12" t="str">
        <f t="shared" si="190"/>
        <v>DriveAnon's 4chan Drive/2. EVERYONE ELSE'S JUMPS/2. Complete but need image work/F-K Jumps</v>
      </c>
    </row>
    <row r="1473">
      <c r="A1473" s="12" t="str">
        <f>HYPERLINK("https://drive.google.com/file/d/1BQnWg5igem0wYaXN4gIvDiicI7YnsHOD/view?usp=drivesdk","Ghostopolis JumpChain.pdf")</f>
        <v>Ghostopolis JumpChain.pdf</v>
      </c>
      <c r="B1473" s="12" t="str">
        <f t="shared" si="190"/>
        <v>DriveAnon's 4chan Drive/2. EVERYONE ELSE'S JUMPS/2. Complete but need image work/F-K Jumps</v>
      </c>
    </row>
    <row r="1474">
      <c r="A1474" s="12" t="str">
        <f>HYPERLINK("https://drive.google.com/file/d/1D8cZmY_VtwfiXN1fqeVpLqPUKsoXZ0i7/view?usp=drivesdk","Kengan Ashura JumpChain.pdf")</f>
        <v>Kengan Ashura JumpChain.pdf</v>
      </c>
      <c r="B1474" s="12" t="str">
        <f t="shared" si="190"/>
        <v>DriveAnon's 4chan Drive/2. EVERYONE ELSE'S JUMPS/2. Complete but need image work/F-K Jumps</v>
      </c>
    </row>
    <row r="1475">
      <c r="A1475" s="12" t="str">
        <f>HYPERLINK("https://drive.google.com/file/d/1GvPK8fy9t-Yb6tZfaNviM4l5LB0SLzYA/view?usp=drivesdk","Hollywood JumpChain.pdf")</f>
        <v>Hollywood JumpChain.pdf</v>
      </c>
      <c r="B1475" s="12" t="str">
        <f t="shared" si="190"/>
        <v>DriveAnon's 4chan Drive/2. EVERYONE ELSE'S JUMPS/2. Complete but need image work/F-K Jumps</v>
      </c>
    </row>
    <row r="1476">
      <c r="A1476" s="12" t="str">
        <f>HYPERLINK("https://drive.google.com/file/d/1KXA_eja3AikYhWxEMJ4nDEKV-WeDLVMO/view?usp=drivesdk","Kairos JumpChain.pdf")</f>
        <v>Kairos JumpChain.pdf</v>
      </c>
      <c r="B1476" s="12" t="str">
        <f t="shared" si="190"/>
        <v>DriveAnon's 4chan Drive/2. EVERYONE ELSE'S JUMPS/2. Complete but need image work/F-K Jumps</v>
      </c>
    </row>
    <row r="1477">
      <c r="A1477" s="12" t="str">
        <f>HYPERLINK("https://drive.google.com/file/d/1Ku64rOXFXsjzUUyAz2BJJylN16NI0ImD/view?usp=drivesdk","Gen 13 JumpChain.pdf")</f>
        <v>Gen 13 JumpChain.pdf</v>
      </c>
      <c r="B1477" s="12" t="str">
        <f t="shared" si="190"/>
        <v>DriveAnon's 4chan Drive/2. EVERYONE ELSE'S JUMPS/2. Complete but need image work/F-K Jumps</v>
      </c>
    </row>
    <row r="1478">
      <c r="A1478" s="12" t="str">
        <f>HYPERLINK("https://drive.google.com/file/d/1Lq_bD2_m_U27dyoelBNXw3TfWwnuxKNV/view?usp=drivesdk","Giant Robo the Animation JumpChain.pdf")</f>
        <v>Giant Robo the Animation JumpChain.pdf</v>
      </c>
      <c r="B1478" s="12" t="str">
        <f t="shared" si="190"/>
        <v>DriveAnon's 4chan Drive/2. EVERYONE ELSE'S JUMPS/2. Complete but need image work/F-K Jumps</v>
      </c>
    </row>
    <row r="1479">
      <c r="A1479" s="12" t="str">
        <f>HYPERLINK("https://drive.google.com/file/d/1MiNUWbqljg8Hj0DYWzvkZ3igrVoLRt8j/view?usp=drivesdk","Goblin Slayer JumpChain.pdf")</f>
        <v>Goblin Slayer JumpChain.pdf</v>
      </c>
      <c r="B1479" s="12" t="str">
        <f t="shared" si="190"/>
        <v>DriveAnon's 4chan Drive/2. EVERYONE ELSE'S JUMPS/2. Complete but need image work/F-K Jumps</v>
      </c>
    </row>
    <row r="1480">
      <c r="A1480" s="12" t="str">
        <f>HYPERLINK("https://drive.google.com/file/d/1UKT--WVEjkrnVSdwKjBGRtnkhwf3lWH3/view?usp=drivesdk","Hataraku Maou-sama! JumpChain.pdf")</f>
        <v>Hataraku Maou-sama! JumpChain.pdf</v>
      </c>
      <c r="B1480" s="12" t="str">
        <f t="shared" si="190"/>
        <v>DriveAnon's 4chan Drive/2. EVERYONE ELSE'S JUMPS/2. Complete but need image work/F-K Jumps</v>
      </c>
    </row>
    <row r="1481">
      <c r="A1481" s="12" t="str">
        <f>HYPERLINK("https://drive.google.com/file/d/1WAy4-Y1HJejyOczjXpt-LE8GT70Z12b3/view?usp=drivesdk","Gash Bell!! JumpChain.pdf")</f>
        <v>Gash Bell!! JumpChain.pdf</v>
      </c>
      <c r="B1481" s="12" t="str">
        <f t="shared" si="190"/>
        <v>DriveAnon's 4chan Drive/2. EVERYONE ELSE'S JUMPS/2. Complete but need image work/F-K Jumps</v>
      </c>
    </row>
    <row r="1482">
      <c r="A1482" s="12" t="str">
        <f>HYPERLINK("https://drive.google.com/file/d/1Xn0Us7phNs2UsuCcM3Is4fYdWWgEfSvT/view?usp=drivesdk","From Dust JumpChain.pdf")</f>
        <v>From Dust JumpChain.pdf</v>
      </c>
      <c r="B1482" s="12" t="str">
        <f t="shared" si="190"/>
        <v>DriveAnon's 4chan Drive/2. EVERYONE ELSE'S JUMPS/2. Complete but need image work/F-K Jumps</v>
      </c>
    </row>
    <row r="1483">
      <c r="A1483" s="12" t="str">
        <f>HYPERLINK("https://drive.google.com/file/d/1YFOfgWNF7wDPBPNGC8GXfWDuxbtwIpbN/view?usp=drivesdk","KILL SIX BILLION DEMONS JUMPCHAIN.pdf")</f>
        <v>KILL SIX BILLION DEMONS JUMPCHAIN.pdf</v>
      </c>
      <c r="B1483" s="12" t="str">
        <f t="shared" si="190"/>
        <v>DriveAnon's 4chan Drive/2. EVERYONE ELSE'S JUMPS/2. Complete but need image work/F-K Jumps</v>
      </c>
    </row>
    <row r="1484">
      <c r="A1484" s="12" t="str">
        <f>HYPERLINK("https://drive.google.com/file/d/1e3owGc5se-prR-29XBf5-1IF136db0uR/view?usp=drivesdk","GaoGaiGar JumpChain.pdf")</f>
        <v>GaoGaiGar JumpChain.pdf</v>
      </c>
      <c r="B1484" s="12" t="str">
        <f t="shared" si="190"/>
        <v>DriveAnon's 4chan Drive/2. EVERYONE ELSE'S JUMPS/2. Complete but need image work/F-K Jumps</v>
      </c>
    </row>
    <row r="1485">
      <c r="A1485" s="12" t="str">
        <f>HYPERLINK("https://drive.google.com/file/d/1fathSi3pkyjETzUqgQMGNFM9bKgOQwCq/view?usp=drivesdk","Hiro the Dense JumpChain.pdf")</f>
        <v>Hiro the Dense JumpChain.pdf</v>
      </c>
      <c r="B1485" s="12" t="str">
        <f t="shared" si="190"/>
        <v>DriveAnon's 4chan Drive/2. EVERYONE ELSE'S JUMPS/2. Complete but need image work/F-K Jumps</v>
      </c>
    </row>
    <row r="1486">
      <c r="A1486" s="12" t="str">
        <f>HYPERLINK("https://drive.google.com/file/d/1g1hyFk9PpjpewjfEYBXMuda69gqBGstf/view?usp=drivesdk","Keitai Sousakan 7 JumpChain.pdf")</f>
        <v>Keitai Sousakan 7 JumpChain.pdf</v>
      </c>
      <c r="B1486" s="12" t="str">
        <f t="shared" si="190"/>
        <v>DriveAnon's 4chan Drive/2. EVERYONE ELSE'S JUMPS/2. Complete but need image work/F-K Jumps</v>
      </c>
    </row>
    <row r="1487">
      <c r="A1487" s="12" t="str">
        <f>HYPERLINK("https://drive.google.com/file/d/1gRsVBBI-ZONPeDa422CQq_aS30Mk3VaJ/view?usp=drivesdk","Gragyriss, Captor of Princesses JumpChain.pdf")</f>
        <v>Gragyriss, Captor of Princesses JumpChain.pdf</v>
      </c>
      <c r="B1487" s="12" t="str">
        <f t="shared" si="190"/>
        <v>DriveAnon's 4chan Drive/2. EVERYONE ELSE'S JUMPS/2. Complete but need image work/F-K Jumps</v>
      </c>
    </row>
    <row r="1488">
      <c r="A1488" s="12" t="str">
        <f>HYPERLINK("https://drive.google.com/file/d/1gn4543bsXXWVVZdP4oWClspkU9pjqnUO/view?usp=drivesdk","KonoSuba JumpChain.pdf")</f>
        <v>KonoSuba JumpChain.pdf</v>
      </c>
      <c r="B1488" s="12" t="str">
        <f t="shared" si="190"/>
        <v>DriveAnon's 4chan Drive/2. EVERYONE ELSE'S JUMPS/2. Complete but need image work/F-K Jumps</v>
      </c>
    </row>
    <row r="1489">
      <c r="A1489" s="12" t="str">
        <f>HYPERLINK("https://drive.google.com/file/d/1jOzrlrD_hPxQEq0dW74-ufKFi4rcVq5n/view?usp=drivesdk","Farmville JumpChain.pdf")</f>
        <v>Farmville JumpChain.pdf</v>
      </c>
      <c r="B1489" s="12" t="str">
        <f t="shared" si="190"/>
        <v>DriveAnon's 4chan Drive/2. EVERYONE ELSE'S JUMPS/2. Complete but need image work/F-K Jumps</v>
      </c>
    </row>
    <row r="1490">
      <c r="A1490" s="12" t="str">
        <f>HYPERLINK("https://drive.google.com/file/d/1jqFCOpq-jqjYmOIDMLG4stD8HNRs1PEm/view?usp=drivesdk","Girls Frontline JumpChain.pdf")</f>
        <v>Girls Frontline JumpChain.pdf</v>
      </c>
      <c r="B1490" s="12" t="str">
        <f t="shared" si="190"/>
        <v>DriveAnon's 4chan Drive/2. EVERYONE ELSE'S JUMPS/2. Complete but need image work/F-K Jumps</v>
      </c>
    </row>
    <row r="1491">
      <c r="A1491" s="12" t="str">
        <f>HYPERLINK("https://drive.google.com/file/d/1mbu5dU59IsGOyn9oYIgHFZ_acpTg3AkA/view?usp=drivesdk","Generator Rex JumpChain.pdf")</f>
        <v>Generator Rex JumpChain.pdf</v>
      </c>
      <c r="B1491" s="12" t="str">
        <f t="shared" si="190"/>
        <v>DriveAnon's 4chan Drive/2. EVERYONE ELSE'S JUMPS/2. Complete but need image work/F-K Jumps</v>
      </c>
    </row>
    <row r="1492">
      <c r="A1492" s="12" t="str">
        <f>HYPERLINK("https://drive.google.com/file/d/1na2DcN-KZ3U2tRrtYu5FtPhwIl0SK2Kt/view?usp=drivesdk","Hellper JumpChain.pdf")</f>
        <v>Hellper JumpChain.pdf</v>
      </c>
      <c r="B1492" s="12" t="str">
        <f t="shared" si="190"/>
        <v>DriveAnon's 4chan Drive/2. EVERYONE ELSE'S JUMPS/2. Complete but need image work/F-K Jumps</v>
      </c>
    </row>
    <row r="1493">
      <c r="A1493" s="12" t="str">
        <f>HYPERLINK("https://drive.google.com/file/d/1pAynfZy9CocB7686EPw0NudP_fudPBbI/view?usp=drivesdk","Kumo Des Ga JumpChain.pdf")</f>
        <v>Kumo Des Ga JumpChain.pdf</v>
      </c>
      <c r="B1493" s="12" t="str">
        <f t="shared" si="190"/>
        <v>DriveAnon's 4chan Drive/2. EVERYONE ELSE'S JUMPS/2. Complete but need image work/F-K Jumps</v>
      </c>
    </row>
    <row r="1494">
      <c r="A1494" s="12" t="str">
        <f>HYPERLINK("https://drive.google.com/file/d/1rEbQIRopwSUfTUjHWBOcKDs7MyEZD5P-/view?usp=drivesdk","Franken Fran Jumpchain.pdf")</f>
        <v>Franken Fran Jumpchain.pdf</v>
      </c>
      <c r="B1494" s="12" t="str">
        <f t="shared" si="190"/>
        <v>DriveAnon's 4chan Drive/2. EVERYONE ELSE'S JUMPS/2. Complete but need image work/F-K Jumps</v>
      </c>
    </row>
    <row r="1495">
      <c r="A1495" s="12" t="str">
        <f>HYPERLINK("https://drive.google.com/file/d/1tI3aZaxyeXnFhjGTi5QbklKGD9ys5Ep_/view?usp=drivesdk","Flow JumpChain.pdf")</f>
        <v>Flow JumpChain.pdf</v>
      </c>
      <c r="B1495" s="12" t="str">
        <f t="shared" si="190"/>
        <v>DriveAnon's 4chan Drive/2. EVERYONE ELSE'S JUMPS/2. Complete but need image work/F-K Jumps</v>
      </c>
    </row>
    <row r="1496">
      <c r="A1496" s="12" t="str">
        <f>HYPERLINK("https://drive.google.com/file/d/1zYL2ueT5WMhJRPWApLY9AmbW7jm3Q5kV/view?usp=drivesdk","His Dark Materials JumpChain.pdf")</f>
        <v>His Dark Materials JumpChain.pdf</v>
      </c>
      <c r="B1496" s="12" t="str">
        <f t="shared" si="190"/>
        <v>DriveAnon's 4chan Drive/2. EVERYONE ELSE'S JUMPS/2. Complete but need image work/F-K Jumps</v>
      </c>
    </row>
    <row r="1497">
      <c r="A1497" s="12" t="str">
        <f>HYPERLINK("https://drive.google.com/file/d/11fLVMmcleFs3ocf9c21uVOHqKxDlWmMy/view?usp=drivesdk","Kulipari-JumpChain.pdf")</f>
        <v>Kulipari-JumpChain.pdf</v>
      </c>
      <c r="B1497" s="12" t="str">
        <f t="shared" si="190"/>
        <v>DriveAnon's 4chan Drive/2. EVERYONE ELSE'S JUMPS/2. Complete but need image work/F-K Jumps</v>
      </c>
    </row>
    <row r="1498">
      <c r="A1498" s="12" t="str">
        <f>HYPERLINK("https://drive.google.com/file/d/18HqRQoQ2tDwIV0-f9M8zPpr7ZCagbJRc/view?usp=drivesdk","Katanagatari JumpChain.pdf")</f>
        <v>Katanagatari JumpChain.pdf</v>
      </c>
      <c r="B1498" s="12" t="str">
        <f t="shared" si="190"/>
        <v>DriveAnon's 4chan Drive/2. EVERYONE ELSE'S JUMPS/2. Complete but need image work/F-K Jumps</v>
      </c>
    </row>
    <row r="1499">
      <c r="A1499" s="12" t="str">
        <f>HYPERLINK("https://drive.google.com/file/d/1D6XN5WolCSXTE54TU9MSmy9QYCZFFHFV/view?usp=drivesdk","Frame Arms_ Girls! JumpChain.pdf")</f>
        <v>Frame Arms_ Girls! JumpChain.pdf</v>
      </c>
      <c r="B1499" s="12" t="str">
        <f t="shared" si="190"/>
        <v>DriveAnon's 4chan Drive/2. EVERYONE ELSE'S JUMPS/2. Complete but need image work/F-K Jumps</v>
      </c>
    </row>
    <row r="1500">
      <c r="A1500" s="12" t="str">
        <f>HYPERLINK("https://drive.google.com/file/d/1II5Z2U8OQENn-PEiTX2OFn-VhOUCi5jA/view?usp=drivesdk","Gears of War JumpChain.pdf")</f>
        <v>Gears of War JumpChain.pdf</v>
      </c>
      <c r="B1500" s="12" t="str">
        <f t="shared" si="190"/>
        <v>DriveAnon's 4chan Drive/2. EVERYONE ELSE'S JUMPS/2. Complete but need image work/F-K Jumps</v>
      </c>
    </row>
    <row r="1501">
      <c r="A1501" s="12" t="str">
        <f>HYPERLINK("https://drive.google.com/file/d/1PKPPUQDnz3dSekOaRgNquTjvHEDQZbv9/view?usp=drivesdk","Flatland JumpChain.pdf")</f>
        <v>Flatland JumpChain.pdf</v>
      </c>
      <c r="B1501" s="12" t="str">
        <f t="shared" si="190"/>
        <v>DriveAnon's 4chan Drive/2. EVERYONE ELSE'S JUMPS/2. Complete but need image work/F-K Jumps</v>
      </c>
    </row>
    <row r="1502">
      <c r="A1502" s="12" t="str">
        <f>HYPERLINK("https://drive.google.com/file/d/1QQ5TkCtKeyThjElBCfmpJqn8CrPcznvi/view?usp=drivesdk","Genjintsu no Kanojo wa Irimasen.pdf")</f>
        <v>Genjintsu no Kanojo wa Irimasen.pdf</v>
      </c>
      <c r="B1502" s="12" t="str">
        <f t="shared" si="190"/>
        <v>DriveAnon's 4chan Drive/2. EVERYONE ELSE'S JUMPS/2. Complete but need image work/F-K Jumps</v>
      </c>
    </row>
    <row r="1503">
      <c r="A1503" s="12" t="str">
        <f>HYPERLINK("https://drive.google.com/file/d/1U7rCLTFjbaOXbqTiEuRRs0BDIhHWG8Yd/view?usp=drivesdk","Galavant JumpChain.pdf")</f>
        <v>Galavant JumpChain.pdf</v>
      </c>
      <c r="B1503" s="12" t="str">
        <f t="shared" si="190"/>
        <v>DriveAnon's 4chan Drive/2. EVERYONE ELSE'S JUMPS/2. Complete but need image work/F-K Jumps</v>
      </c>
    </row>
    <row r="1504">
      <c r="A1504" s="12" t="str">
        <f>HYPERLINK("https://drive.google.com/file/d/1UbRx_ZgP1tCydX6jHsBM867zSC6cQ9j8/view?usp=drivesdk","Guren 5 JumpChain.pdf")</f>
        <v>Guren 5 JumpChain.pdf</v>
      </c>
      <c r="B1504" s="12" t="str">
        <f t="shared" si="190"/>
        <v>DriveAnon's 4chan Drive/2. EVERYONE ELSE'S JUMPS/2. Complete but need image work/F-K Jumps</v>
      </c>
    </row>
    <row r="1505">
      <c r="A1505" s="12" t="str">
        <f>HYPERLINK("https://drive.google.com/file/d/1bOK4ZrDqQ0qOfu_sEiprpboLn5QVJYVd/view?usp=drivesdk","God Catching Alchemy Meister JumpChain.pdf")</f>
        <v>God Catching Alchemy Meister JumpChain.pdf</v>
      </c>
      <c r="B1505" s="12" t="str">
        <f t="shared" si="190"/>
        <v>DriveAnon's 4chan Drive/2. EVERYONE ELSE'S JUMPS/2. Complete but need image work/F-K Jumps</v>
      </c>
    </row>
    <row r="1506">
      <c r="A1506" s="12" t="str">
        <f>HYPERLINK("https://drive.google.com/file/d/1c1mHrcgxIQUvp9NSsGwglSF4-y_t1Rjr/view?usp=drivesdk","ID-The Greatest Fusion Fantasy JumpChain.pdf")</f>
        <v>ID-The Greatest Fusion Fantasy JumpChain.pdf</v>
      </c>
      <c r="B1506" s="12" t="str">
        <f t="shared" si="190"/>
        <v>DriveAnon's 4chan Drive/2. EVERYONE ELSE'S JUMPS/2. Complete but need image work/F-K Jumps</v>
      </c>
    </row>
    <row r="1507">
      <c r="A1507" s="12" t="str">
        <f>HYPERLINK("https://drive.google.com/file/d/1d6-_uFtHlZ9Pu6wjZnTXijX8fgYb-jb-/view?usp=drivesdk","I Saved Too Many Girls And Caused The Apocalypse JumpChain.pdf")</f>
        <v>I Saved Too Many Girls And Caused The Apocalypse JumpChain.pdf</v>
      </c>
      <c r="B1507" s="12" t="str">
        <f t="shared" si="190"/>
        <v>DriveAnon's 4chan Drive/2. EVERYONE ELSE'S JUMPS/2. Complete but need image work/F-K Jumps</v>
      </c>
    </row>
    <row r="1508">
      <c r="A1508" s="12" t="str">
        <f>HYPERLINK("https://drive.google.com/file/d/1dDp9YS9Fhe8NEDgQkSsdIDju9K6A53T4/view?usp=drivesdk","How Not to Summon a Demon Lord JumpChain.pdf")</f>
        <v>How Not to Summon a Demon Lord JumpChain.pdf</v>
      </c>
      <c r="B1508" s="12" t="str">
        <f t="shared" si="190"/>
        <v>DriveAnon's 4chan Drive/2. EVERYONE ELSE'S JUMPS/2. Complete but need image work/F-K Jumps</v>
      </c>
    </row>
    <row r="1509">
      <c r="A1509" s="12" t="str">
        <f>HYPERLINK("https://drive.google.com/file/d/1hBRfhfpteYhCy5U-M6-i3a27WEdbkutB/view?usp=drivesdk","Inukami JumpChain.pdf")</f>
        <v>Inukami JumpChain.pdf</v>
      </c>
      <c r="B1509" s="12" t="str">
        <f t="shared" si="190"/>
        <v>DriveAnon's 4chan Drive/2. EVERYONE ELSE'S JUMPS/2. Complete but need image work/F-K Jumps</v>
      </c>
    </row>
    <row r="1510">
      <c r="A1510" s="12" t="str">
        <f>HYPERLINK("https://drive.google.com/file/d/1niyMGt8-FHat8lK_vkJKOIr3oc_7_jND/view?usp=drivesdk","Kabaneri JumpChain.pdf")</f>
        <v>Kabaneri JumpChain.pdf</v>
      </c>
      <c r="B1510" s="12" t="str">
        <f t="shared" si="190"/>
        <v>DriveAnon's 4chan Drive/2. EVERYONE ELSE'S JUMPS/2. Complete but need image work/F-K Jumps</v>
      </c>
    </row>
    <row r="1511">
      <c r="A1511" s="12" t="str">
        <f>HYPERLINK("https://drive.google.com/file/d/1rSSllrV7xGfAA69dd3Ui5SMBGz4vXjnO/view?usp=drivesdk","Joujuu Senjin Mushibugyo JumpChain.pdf")</f>
        <v>Joujuu Senjin Mushibugyo JumpChain.pdf</v>
      </c>
      <c r="B1511" s="12" t="str">
        <f t="shared" si="190"/>
        <v>DriveAnon's 4chan Drive/2. EVERYONE ELSE'S JUMPS/2. Complete but need image work/F-K Jumps</v>
      </c>
    </row>
    <row r="1512">
      <c r="A1512" s="12" t="str">
        <f>HYPERLINK("https://drive.google.com/file/d/1ttluaDy4PYP26dBBA4hrpjHbCcwh0sZy/view?usp=drivesdk","Heaven Will Be Mine JumpChain.pdf")</f>
        <v>Heaven Will Be Mine JumpChain.pdf</v>
      </c>
      <c r="B1512" s="12" t="str">
        <f t="shared" si="190"/>
        <v>DriveAnon's 4chan Drive/2. EVERYONE ELSE'S JUMPS/2. Complete but need image work/F-K Jumps</v>
      </c>
    </row>
    <row r="1513">
      <c r="A1513" s="12" t="str">
        <f>HYPERLINK("https://drive.google.com/file/d/1xURwZ_U-WtkQmTI6Cf5mkcUZA5pi4G0Q/view?usp=drivesdk","Kämpfer JumpChain.pdf")</f>
        <v>Kämpfer JumpChain.pdf</v>
      </c>
      <c r="B1513" s="12" t="str">
        <f t="shared" si="190"/>
        <v>DriveAnon's 4chan Drive/2. EVERYONE ELSE'S JUMPS/2. Complete but need image work/F-K Jumps</v>
      </c>
    </row>
    <row r="1514">
      <c r="A1514" s="12" t="str">
        <f>HYPERLINK("https://drive.google.com/file/d/1L3Zs_uuPVnvtxOX2BVm66OpcC2IUc8vq/view?usp=drivesdk","Kickboxer - Vengeance JumpChain.pdf")</f>
        <v>Kickboxer - Vengeance JumpChain.pdf</v>
      </c>
      <c r="B1514" s="12" t="str">
        <f t="shared" si="190"/>
        <v>DriveAnon's 4chan Drive/2. EVERYONE ELSE'S JUMPS/2. Complete but need image work/F-K Jumps</v>
      </c>
    </row>
    <row r="1515">
      <c r="A1515" s="12" t="str">
        <f>HYPERLINK("https://drive.google.com/file/d/11jaJCNMWwQ-dZK7sdUMRaKIU-G19QLxo/view?usp=drivesdk","Jreg_s Centricide Jumpchain 1.2.pdf")</f>
        <v>Jreg_s Centricide Jumpchain 1.2.pdf</v>
      </c>
      <c r="B1515" s="12" t="str">
        <f t="shared" si="190"/>
        <v>DriveAnon's 4chan Drive/2. EVERYONE ELSE'S JUMPS/2. Complete but need image work/F-K Jumps</v>
      </c>
    </row>
    <row r="1516">
      <c r="A1516" s="12" t="str">
        <f>HYPERLINK("https://drive.google.com/file/d/19I9nA6377E-7AwkumYnyR3aJHyU6kfBm/view?usp=drivesdk","Joseph and the Brothers v1.1.pdf")</f>
        <v>Joseph and the Brothers v1.1.pdf</v>
      </c>
      <c r="B1516" s="12" t="str">
        <f t="shared" si="190"/>
        <v>DriveAnon's 4chan Drive/2. EVERYONE ELSE'S JUMPS/2. Complete but need image work/F-K Jumps</v>
      </c>
    </row>
    <row r="1517">
      <c r="A1517" s="12" t="str">
        <f>HYPERLINK("https://drive.google.com/file/d/1W1V8CgvEAM59qZWnLYmFM2zecoi1Jjp9/view?usp=drivesdk","Hawkmoon.pdf")</f>
        <v>Hawkmoon.pdf</v>
      </c>
      <c r="B1517" s="12" t="str">
        <f t="shared" si="190"/>
        <v>DriveAnon's 4chan Drive/2. EVERYONE ELSE'S JUMPS/2. Complete but need image work/F-K Jumps</v>
      </c>
    </row>
    <row r="1518">
      <c r="A1518" s="12" t="str">
        <f>HYPERLINK("https://drive.google.com/file/d/1ouKgd6_0hz_TawaElQocxsuflrungD-y/view?usp=drivesdk","Hanachirasu.pdf")</f>
        <v>Hanachirasu.pdf</v>
      </c>
      <c r="B1518" s="12" t="str">
        <f t="shared" si="190"/>
        <v>DriveAnon's 4chan Drive/2. EVERYONE ELSE'S JUMPS/2. Complete but need image work/F-K Jumps</v>
      </c>
    </row>
    <row r="1519">
      <c r="A1519" s="12" t="str">
        <f>HYPERLINK("https://drive.google.com/file/d/1vteyalBchBWtiYMBbHhV6qd4UF1apLnp/view?usp=drivesdk","Halloween.pdf")</f>
        <v>Halloween.pdf</v>
      </c>
      <c r="B1519" s="12" t="str">
        <f t="shared" si="190"/>
        <v>DriveAnon's 4chan Drive/2. EVERYONE ELSE'S JUMPS/2. Complete but need image work/F-K Jumps</v>
      </c>
    </row>
    <row r="1520">
      <c r="A1520" s="12" t="str">
        <f>HYPERLINK("https://drive.google.com/file/d/1eP7yqGbKWRA0bprXv4ndEreH3tsUPWPW/view?usp=drivesdk","A Throne Of Glass.pdf")</f>
        <v>A Throne Of Glass.pdf</v>
      </c>
      <c r="B1520" s="12" t="str">
        <f t="shared" ref="B1520:B1730" si="191">HYPERLINK("https://drive.google.com/drive/folders/1EhddGNYkKnJ9CFgKq5JOQ8xM3slGHaaA","DriveAnon's 4chan Drive/2. EVERYONE ELSE'S JUMPS/2. Complete but need image work/A-E Jumps")</f>
        <v>DriveAnon's 4chan Drive/2. EVERYONE ELSE'S JUMPS/2. Complete but need image work/A-E Jumps</v>
      </c>
    </row>
    <row r="1521">
      <c r="A1521" s="12" t="str">
        <f>HYPERLINK("https://drive.google.com/file/d/1fpUk1390HNzwdTBIhy3jhpp8lXSHB56F/view?usp=drivesdk","Elden Ring.pdf")</f>
        <v>Elden Ring.pdf</v>
      </c>
      <c r="B1521" s="12" t="str">
        <f t="shared" si="191"/>
        <v>DriveAnon's 4chan Drive/2. EVERYONE ELSE'S JUMPS/2. Complete but need image work/A-E Jumps</v>
      </c>
    </row>
    <row r="1522">
      <c r="A1522" s="12" t="str">
        <f>HYPERLINK("https://drive.google.com/file/d/15w8_5_sIkYf7ALmFpMSy03pGvIvo9WgR/view?usp=drivesdk","Chainsaw Man.pdf")</f>
        <v>Chainsaw Man.pdf</v>
      </c>
      <c r="B1522" s="12" t="str">
        <f t="shared" si="191"/>
        <v>DriveAnon's 4chan Drive/2. EVERYONE ELSE'S JUMPS/2. Complete but need image work/A-E Jumps</v>
      </c>
    </row>
    <row r="1523">
      <c r="A1523" s="12" t="str">
        <f>HYPERLINK("https://drive.google.com/file/d/1_cKnEg8fakgHXD-aC6LUUgE-gN3M48H-/view?usp=drivesdk","Dungeons the Dragoning 40,000 7th Edition.pdf")</f>
        <v>Dungeons the Dragoning 40,000 7th Edition.pdf</v>
      </c>
      <c r="B1523" s="12" t="str">
        <f t="shared" si="191"/>
        <v>DriveAnon's 4chan Drive/2. EVERYONE ELSE'S JUMPS/2. Complete but need image work/A-E Jumps</v>
      </c>
    </row>
    <row r="1524">
      <c r="A1524" s="12" t="str">
        <f>HYPERLINK("https://drive.google.com/file/d/1GKe7_fvswYc34Lwicl_8fiaC0A29jNxs/view?usp=drivesdk","Code Vein.pdf")</f>
        <v>Code Vein.pdf</v>
      </c>
      <c r="B1524" s="12" t="str">
        <f t="shared" si="191"/>
        <v>DriveAnon's 4chan Drive/2. EVERYONE ELSE'S JUMPS/2. Complete but need image work/A-E Jumps</v>
      </c>
    </row>
    <row r="1525">
      <c r="A1525" s="12" t="str">
        <f>HYPERLINK("https://drive.google.com/file/d/14jeyb3BM-EyxpyZDL376-rKiCNMBPJ_J/view?usp=drivesdk","Diablo 1+2.pdf")</f>
        <v>Diablo 1+2.pdf</v>
      </c>
      <c r="B1525" s="12" t="str">
        <f t="shared" si="191"/>
        <v>DriveAnon's 4chan Drive/2. EVERYONE ELSE'S JUMPS/2. Complete but need image work/A-E Jumps</v>
      </c>
    </row>
    <row r="1526">
      <c r="A1526" s="12" t="str">
        <f>HYPERLINK("https://drive.google.com/file/d/1rJs0d_W7PqZzhDqWVUjwqJROTuTTEONB/view?usp=drivesdk","Cautious Hero.pdf")</f>
        <v>Cautious Hero.pdf</v>
      </c>
      <c r="B1526" s="12" t="str">
        <f t="shared" si="191"/>
        <v>DriveAnon's 4chan Drive/2. EVERYONE ELSE'S JUMPS/2. Complete but need image work/A-E Jumps</v>
      </c>
    </row>
    <row r="1527">
      <c r="A1527" s="12" t="str">
        <f>HYPERLINK("https://drive.google.com/file/d/1Aom-4SQFA5eBwwYxP49Wta9lzr683hz6/view?usp=drivesdk","Centaurworld.pdf")</f>
        <v>Centaurworld.pdf</v>
      </c>
      <c r="B1527" s="12" t="str">
        <f t="shared" si="191"/>
        <v>DriveAnon's 4chan Drive/2. EVERYONE ELSE'S JUMPS/2. Complete but need image work/A-E Jumps</v>
      </c>
    </row>
    <row r="1528">
      <c r="A1528" s="12" t="str">
        <f>HYPERLINK("https://drive.google.com/file/d/1qWXqWXHviQAF-k1OJDXMQWEAZgvj5ZYX/view?usp=drivesdk","Darkwatch.pdf")</f>
        <v>Darkwatch.pdf</v>
      </c>
      <c r="B1528" s="12" t="str">
        <f t="shared" si="191"/>
        <v>DriveAnon's 4chan Drive/2. EVERYONE ELSE'S JUMPS/2. Complete but need image work/A-E Jumps</v>
      </c>
    </row>
    <row r="1529">
      <c r="A1529" s="12" t="str">
        <f>HYPERLINK("https://drive.google.com/file/d/1VVoq1PLBUzh_n5Tnp8RIHUNfIL5rUDLh/view?usp=drivesdk","Avesta of Black and White.pdf")</f>
        <v>Avesta of Black and White.pdf</v>
      </c>
      <c r="B1529" s="12" t="str">
        <f t="shared" si="191"/>
        <v>DriveAnon's 4chan Drive/2. EVERYONE ELSE'S JUMPS/2. Complete but need image work/A-E Jumps</v>
      </c>
    </row>
    <row r="1530">
      <c r="A1530" s="12" t="str">
        <f>HYPERLINK("https://drive.google.com/file/d/1K6vqx49YTnx0UGqSKhGQLXvRTQunvsly/view?usp=drivesdk","Black And White.pdf")</f>
        <v>Black And White.pdf</v>
      </c>
      <c r="B1530" s="12" t="str">
        <f t="shared" si="191"/>
        <v>DriveAnon's 4chan Drive/2. EVERYONE ELSE'S JUMPS/2. Complete but need image work/A-E Jumps</v>
      </c>
    </row>
    <row r="1531">
      <c r="A1531" s="12" t="str">
        <f>HYPERLINK("https://drive.google.com/file/d/1bu1kjbC-ovDcjZhlHBuNItbAh9__x9rp/view?usp=drivesdk","Eiyu Senki.pdf")</f>
        <v>Eiyu Senki.pdf</v>
      </c>
      <c r="B1531" s="12" t="str">
        <f t="shared" si="191"/>
        <v>DriveAnon's 4chan Drive/2. EVERYONE ELSE'S JUMPS/2. Complete but need image work/A-E Jumps</v>
      </c>
    </row>
    <row r="1532">
      <c r="A1532" s="12" t="str">
        <f>HYPERLINK("https://drive.google.com/file/d/1OQRkJmBuanDBwbI98y_3bqiv-Ievay7D/view?usp=drivesdk","Armello.pdf")</f>
        <v>Armello.pdf</v>
      </c>
      <c r="B1532" s="12" t="str">
        <f t="shared" si="191"/>
        <v>DriveAnon's 4chan Drive/2. EVERYONE ELSE'S JUMPS/2. Complete but need image work/A-E Jumps</v>
      </c>
    </row>
    <row r="1533">
      <c r="A1533" s="12" t="str">
        <f>HYPERLINK("https://drive.google.com/file/d/1QvXE5zvM_eO5lrTr-vlbQcWo3bsY-YK5/view?usp=drivesdk","Epic Battle Flash.pdf")</f>
        <v>Epic Battle Flash.pdf</v>
      </c>
      <c r="B1533" s="12" t="str">
        <f t="shared" si="191"/>
        <v>DriveAnon's 4chan Drive/2. EVERYONE ELSE'S JUMPS/2. Complete but need image work/A-E Jumps</v>
      </c>
    </row>
    <row r="1534">
      <c r="A1534" s="12" t="str">
        <f>HYPERLINK("https://drive.google.com/file/d/13dFMbdkjSFTOlSNHdc__xUbELrV_U8Eg/view?usp=drivesdk","DEFCON.pdf")</f>
        <v>DEFCON.pdf</v>
      </c>
      <c r="B1534" s="12" t="str">
        <f t="shared" si="191"/>
        <v>DriveAnon's 4chan Drive/2. EVERYONE ELSE'S JUMPS/2. Complete but need image work/A-E Jumps</v>
      </c>
    </row>
    <row r="1535">
      <c r="A1535" s="12" t="str">
        <f>HYPERLINK("https://drive.google.com/file/d/1KMw41MlBo7cm6qw9fsgT4gM0xw-SVEF0/view?usp=drivesdk","A Wild Last Boss Appeared!.pdf")</f>
        <v>A Wild Last Boss Appeared!.pdf</v>
      </c>
      <c r="B1535" s="12" t="str">
        <f t="shared" si="191"/>
        <v>DriveAnon's 4chan Drive/2. EVERYONE ELSE'S JUMPS/2. Complete but need image work/A-E Jumps</v>
      </c>
    </row>
    <row r="1536">
      <c r="A1536" s="12" t="str">
        <f>HYPERLINK("https://drive.google.com/file/d/1BxE0bQNjUFt-RlJ6BFEx1jf-mA3SGM85/view?usp=drivesdk","Choice Of The Dragon.pdf")</f>
        <v>Choice Of The Dragon.pdf</v>
      </c>
      <c r="B1536" s="12" t="str">
        <f t="shared" si="191"/>
        <v>DriveAnon's 4chan Drive/2. EVERYONE ELSE'S JUMPS/2. Complete but need image work/A-E Jumps</v>
      </c>
    </row>
    <row r="1537">
      <c r="A1537" s="12" t="str">
        <f>HYPERLINK("https://drive.google.com/file/d/1ppAiK9ANd6dQhqTchqA36P4YPisXn4nF/view?usp=drivesdk","Everhood.pdf")</f>
        <v>Everhood.pdf</v>
      </c>
      <c r="B1537" s="12" t="str">
        <f t="shared" si="191"/>
        <v>DriveAnon's 4chan Drive/2. EVERYONE ELSE'S JUMPS/2. Complete but need image work/A-E Jumps</v>
      </c>
    </row>
    <row r="1538">
      <c r="A1538" s="12" t="str">
        <f>HYPERLINK("https://drive.google.com/file/d/1dMr0eDjLIt7qEX9sxgh5HP06tSqDwWxx/view?usp=drivesdk","Conrad Stargard, The Crosstime Engineer.pdf")</f>
        <v>Conrad Stargard, The Crosstime Engineer.pdf</v>
      </c>
      <c r="B1538" s="12" t="str">
        <f t="shared" si="191"/>
        <v>DriveAnon's 4chan Drive/2. EVERYONE ELSE'S JUMPS/2. Complete but need image work/A-E Jumps</v>
      </c>
    </row>
    <row r="1539">
      <c r="A1539" s="12" t="str">
        <f>HYPERLINK("https://drive.google.com/file/d/1rNxSc9WOzpcY2fHGx3toqxvoNnwZ9LMr/view?usp=drivesdk","Custom Robo.pdf")</f>
        <v>Custom Robo.pdf</v>
      </c>
      <c r="B1539" s="12" t="str">
        <f t="shared" si="191"/>
        <v>DriveAnon's 4chan Drive/2. EVERYONE ELSE'S JUMPS/2. Complete but need image work/A-E Jumps</v>
      </c>
    </row>
    <row r="1540">
      <c r="A1540" s="12" t="str">
        <f>HYPERLINK("https://drive.google.com/file/d/1aI4CcNIoJ3BlmKLLAZUna4QJU35Vywm9/view?usp=drivesdk","Bronze Age Collapse (With rec readings).pdf")</f>
        <v>Bronze Age Collapse (With rec readings).pdf</v>
      </c>
      <c r="B1540" s="12" t="str">
        <f t="shared" si="191"/>
        <v>DriveAnon's 4chan Drive/2. EVERYONE ELSE'S JUMPS/2. Complete but need image work/A-E Jumps</v>
      </c>
    </row>
    <row r="1541">
      <c r="A1541" s="12" t="str">
        <f>HYPERLINK("https://drive.google.com/file/d/1VbikK8Z7o97yxfgi6cSv3sg_PfY9e6rO/view?usp=drivesdk","Atomicrops.pdf")</f>
        <v>Atomicrops.pdf</v>
      </c>
      <c r="B1541" s="12" t="str">
        <f t="shared" si="191"/>
        <v>DriveAnon's 4chan Drive/2. EVERYONE ELSE'S JUMPS/2. Complete but need image work/A-E Jumps</v>
      </c>
    </row>
    <row r="1542">
      <c r="A1542" s="12" t="str">
        <f>HYPERLINK("https://drive.google.com/file/d/1KoAMW7TSu3ikbfLSaNz4lig5Qgq7bjOx/view?usp=drivesdk","Death Stranding.pdf")</f>
        <v>Death Stranding.pdf</v>
      </c>
      <c r="B1542" s="12" t="str">
        <f t="shared" si="191"/>
        <v>DriveAnon's 4chan Drive/2. EVERYONE ELSE'S JUMPS/2. Complete but need image work/A-E Jumps</v>
      </c>
    </row>
    <row r="1543">
      <c r="A1543" s="12" t="str">
        <f>HYPERLINK("https://drive.google.com/file/d/1zFfRgNNxuwoCbg_OfMUU-0lmxbm-bYau/view?usp=drivesdk","Biomega.pdf")</f>
        <v>Biomega.pdf</v>
      </c>
      <c r="B1543" s="12" t="str">
        <f t="shared" si="191"/>
        <v>DriveAnon's 4chan Drive/2. EVERYONE ELSE'S JUMPS/2. Complete but need image work/A-E Jumps</v>
      </c>
    </row>
    <row r="1544">
      <c r="A1544" s="12" t="str">
        <f>HYPERLINK("https://drive.google.com/file/d/1YaZVo_zrQCZpEjVVqQkVY21nt8orlR0_/view?usp=drivesdk","Blame.pdf")</f>
        <v>Blame.pdf</v>
      </c>
      <c r="B1544" s="12" t="str">
        <f t="shared" si="191"/>
        <v>DriveAnon's 4chan Drive/2. EVERYONE ELSE'S JUMPS/2. Complete but need image work/A-E Jumps</v>
      </c>
    </row>
    <row r="1545">
      <c r="A1545" s="12" t="str">
        <f>HYPERLINK("https://drive.google.com/file/d/1HjKq8jlyhFdgf3PNiHeAslGND7iW8Poo/view?usp=drivesdk","ARIA.pdf")</f>
        <v>ARIA.pdf</v>
      </c>
      <c r="B1545" s="12" t="str">
        <f t="shared" si="191"/>
        <v>DriveAnon's 4chan Drive/2. EVERYONE ELSE'S JUMPS/2. Complete but need image work/A-E Jumps</v>
      </c>
    </row>
    <row r="1546">
      <c r="A1546" s="12" t="str">
        <f>HYPERLINK("https://drive.google.com/file/d/1ntNqq-wxdk0qB2iFn_SHR6_wOYdUx44A/view?usp=drivesdk","Endless Legend.pdf")</f>
        <v>Endless Legend.pdf</v>
      </c>
      <c r="B1546" s="12" t="str">
        <f t="shared" si="191"/>
        <v>DriveAnon's 4chan Drive/2. EVERYONE ELSE'S JUMPS/2. Complete but need image work/A-E Jumps</v>
      </c>
    </row>
    <row r="1547">
      <c r="A1547" s="12" t="str">
        <f>HYPERLINK("https://drive.google.com/file/d/1iJ__oshbLLuHb1obPSuj0bA3NVoqM_br/view?usp=drivesdk","Ender_s Game.pdf")</f>
        <v>Ender_s Game.pdf</v>
      </c>
      <c r="B1547" s="12" t="str">
        <f t="shared" si="191"/>
        <v>DriveAnon's 4chan Drive/2. EVERYONE ELSE'S JUMPS/2. Complete but need image work/A-E Jumps</v>
      </c>
    </row>
    <row r="1548">
      <c r="A1548" s="12" t="str">
        <f>HYPERLINK("https://drive.google.com/file/d/1b6Antdx2lvDWy2Jn8sbI-_Xiy1heb7sg/view?usp=drivesdk","Anders.pdf")</f>
        <v>Anders.pdf</v>
      </c>
      <c r="B1548" s="12" t="str">
        <f t="shared" si="191"/>
        <v>DriveAnon's 4chan Drive/2. EVERYONE ELSE'S JUMPS/2. Complete but need image work/A-E Jumps</v>
      </c>
    </row>
    <row r="1549">
      <c r="A1549" s="12" t="str">
        <f>HYPERLINK("https://drive.google.com/file/d/1kOdERh3jgTc4Jyo4PN8X2HAntk57ezna/view?usp=drivesdk","Cradle.pdf")</f>
        <v>Cradle.pdf</v>
      </c>
      <c r="B1549" s="12" t="str">
        <f t="shared" si="191"/>
        <v>DriveAnon's 4chan Drive/2. EVERYONE ELSE'S JUMPS/2. Complete but need image work/A-E Jumps</v>
      </c>
    </row>
    <row r="1550">
      <c r="A1550" s="12" t="str">
        <f>HYPERLINK("https://drive.google.com/file/d/1N-G3Sd45-x1K4ueKfJGFMKOIkYrgYz4K/view?usp=drivesdk","Alterworld D. Rus JumpChain.pdf")</f>
        <v>Alterworld D. Rus JumpChain.pdf</v>
      </c>
      <c r="B1550" s="12" t="str">
        <f t="shared" si="191"/>
        <v>DriveAnon's 4chan Drive/2. EVERYONE ELSE'S JUMPS/2. Complete but need image work/A-E Jumps</v>
      </c>
    </row>
    <row r="1551">
      <c r="A1551" s="12" t="str">
        <f>HYPERLINK("https://drive.google.com/file/d/1BEgF2Ya6-p-sbWOqN4rj35gvKsGsB4KW/view?usp=drivesdk","A Brothers Price JumpChain.pdf")</f>
        <v>A Brothers Price JumpChain.pdf</v>
      </c>
      <c r="B1551" s="12" t="str">
        <f t="shared" si="191"/>
        <v>DriveAnon's 4chan Drive/2. EVERYONE ELSE'S JUMPS/2. Complete but need image work/A-E Jumps</v>
      </c>
    </row>
    <row r="1552">
      <c r="A1552" s="12" t="str">
        <f>HYPERLINK("https://drive.google.com/file/d/1QU--Kwf7prkhIo9GADqQjRWcDG98JaAL/view?usp=drivesdk","Elantris JumpChain.pdf")</f>
        <v>Elantris JumpChain.pdf</v>
      </c>
      <c r="B1552" s="12" t="str">
        <f t="shared" si="191"/>
        <v>DriveAnon's 4chan Drive/2. EVERYONE ELSE'S JUMPS/2. Complete but need image work/A-E Jumps</v>
      </c>
    </row>
    <row r="1553">
      <c r="A1553" s="12" t="str">
        <f>HYPERLINK("https://drive.google.com/file/d/1bfLYCQY32WyfaXRgYiNuY1EjQYkAgdvy/view?usp=drivesdk","C - Control and Soul JumpChain.pdf")</f>
        <v>C - Control and Soul JumpChain.pdf</v>
      </c>
      <c r="B1553" s="12" t="str">
        <f t="shared" si="191"/>
        <v>DriveAnon's 4chan Drive/2. EVERYONE ELSE'S JUMPS/2. Complete but need image work/A-E Jumps</v>
      </c>
    </row>
    <row r="1554">
      <c r="A1554" s="12" t="str">
        <f>HYPERLINK("https://drive.google.com/file/d/1t59thHo1XBkv-N7of0pqou4OxtbuQqDM/view?usp=drivesdk","D.Y.N. Freaks JumpChain.pdf")</f>
        <v>D.Y.N. Freaks JumpChain.pdf</v>
      </c>
      <c r="B1554" s="12" t="str">
        <f t="shared" si="191"/>
        <v>DriveAnon's 4chan Drive/2. EVERYONE ELSE'S JUMPS/2. Complete but need image work/A-E Jumps</v>
      </c>
    </row>
    <row r="1555">
      <c r="A1555" s="12" t="str">
        <f>HYPERLINK("https://drive.google.com/file/d/10vPGFRR89oqEPQsSz70wAHHaY66jZn2V/view?usp=drivesdk","Diebuster JumpChain.pdf")</f>
        <v>Diebuster JumpChain.pdf</v>
      </c>
      <c r="B1555" s="12" t="str">
        <f t="shared" si="191"/>
        <v>DriveAnon's 4chan Drive/2. EVERYONE ELSE'S JUMPS/2. Complete but need image work/A-E Jumps</v>
      </c>
    </row>
    <row r="1556">
      <c r="A1556" s="12" t="str">
        <f>HYPERLINK("https://drive.google.com/file/d/11PZ36i_RPeWdKkLpywqsUmzugclmAEFg/view?usp=drivesdk","Earth Defense Force 2025 JumpChain.pdf")</f>
        <v>Earth Defense Force 2025 JumpChain.pdf</v>
      </c>
      <c r="B1556" s="12" t="str">
        <f t="shared" si="191"/>
        <v>DriveAnon's 4chan Drive/2. EVERYONE ELSE'S JUMPS/2. Complete but need image work/A-E Jumps</v>
      </c>
    </row>
    <row r="1557">
      <c r="A1557" s="12" t="str">
        <f>HYPERLINK("https://drive.google.com/file/d/12oiXi-7hDA3lgneI5pVKra-cJQDV5SCm/view?usp=drivesdk","Dresden Files JumpChain.pdf")</f>
        <v>Dresden Files JumpChain.pdf</v>
      </c>
      <c r="B1557" s="12" t="str">
        <f t="shared" si="191"/>
        <v>DriveAnon's 4chan Drive/2. EVERYONE ELSE'S JUMPS/2. Complete but need image work/A-E Jumps</v>
      </c>
    </row>
    <row r="1558">
      <c r="A1558" s="12" t="str">
        <f>HYPERLINK("https://drive.google.com/file/d/149NztWqvwYxZe3AQRq2m8cyi1TgczszM/view?usp=drivesdk","Elite Dangerous JumpChain.pdf")</f>
        <v>Elite Dangerous JumpChain.pdf</v>
      </c>
      <c r="B1558" s="12" t="str">
        <f t="shared" si="191"/>
        <v>DriveAnon's 4chan Drive/2. EVERYONE ELSE'S JUMPS/2. Complete but need image work/A-E Jumps</v>
      </c>
    </row>
    <row r="1559">
      <c r="A1559" s="12" t="str">
        <f>HYPERLINK("https://drive.google.com/file/d/165PKWU-FoQ0pkNuXf-n8Towj7LtK3ls0/view?usp=drivesdk","Camp Camp JumpChain.pdf")</f>
        <v>Camp Camp JumpChain.pdf</v>
      </c>
      <c r="B1559" s="12" t="str">
        <f t="shared" si="191"/>
        <v>DriveAnon's 4chan Drive/2. EVERYONE ELSE'S JUMPS/2. Complete but need image work/A-E Jumps</v>
      </c>
    </row>
    <row r="1560">
      <c r="A1560" s="12" t="str">
        <f>HYPERLINK("https://drive.google.com/file/d/17cgZyThIw5ixci6cWykTwnxSEviNiaxL/view?usp=drivesdk","Battle Action Harem Highschool Side Character Quest JumpChain .pdf")</f>
        <v>Battle Action Harem Highschool Side Character Quest JumpChain .pdf</v>
      </c>
      <c r="B1560" s="12" t="str">
        <f t="shared" si="191"/>
        <v>DriveAnon's 4chan Drive/2. EVERYONE ELSE'S JUMPS/2. Complete but need image work/A-E Jumps</v>
      </c>
    </row>
    <row r="1561">
      <c r="A1561" s="12" t="str">
        <f>HYPERLINK("https://drive.google.com/file/d/1AtUujQn0ae7OVoWQib1xHNkXy1SQMLhu/view?usp=drivesdk","Erfworld JumpChain.pdf")</f>
        <v>Erfworld JumpChain.pdf</v>
      </c>
      <c r="B1561" s="12" t="str">
        <f t="shared" si="191"/>
        <v>DriveAnon's 4chan Drive/2. EVERYONE ELSE'S JUMPS/2. Complete but need image work/A-E Jumps</v>
      </c>
    </row>
    <row r="1562">
      <c r="A1562" s="12" t="str">
        <f>HYPERLINK("https://drive.google.com/file/d/1GTHeD81tKSRkMlla7uNdRdWeeTxsxfGF/view?usp=drivesdk","Double Cross JumpChain.pdf")</f>
        <v>Double Cross JumpChain.pdf</v>
      </c>
      <c r="B1562" s="12" t="str">
        <f t="shared" si="191"/>
        <v>DriveAnon's 4chan Drive/2. EVERYONE ELSE'S JUMPS/2. Complete but need image work/A-E Jumps</v>
      </c>
    </row>
    <row r="1563">
      <c r="A1563" s="12" t="str">
        <f>HYPERLINK("https://drive.google.com/file/d/1HOhwtKV1xRFmsaRKa-Q4rhN1w6a3zm4i/view?usp=drivesdk","City of Angles JumpChain.pdf")</f>
        <v>City of Angles JumpChain.pdf</v>
      </c>
      <c r="B1563" s="12" t="str">
        <f t="shared" si="191"/>
        <v>DriveAnon's 4chan Drive/2. EVERYONE ELSE'S JUMPS/2. Complete but need image work/A-E Jumps</v>
      </c>
    </row>
    <row r="1564">
      <c r="A1564" s="12" t="str">
        <f>HYPERLINK("https://drive.google.com/file/d/1I6a95l3mUPV0LhJfyrkJl_q6wRrl5Rz9/view?usp=drivesdk","Aldnoah.Zero JumpChain.pdf")</f>
        <v>Aldnoah.Zero JumpChain.pdf</v>
      </c>
      <c r="B1564" s="12" t="str">
        <f t="shared" si="191"/>
        <v>DriveAnon's 4chan Drive/2. EVERYONE ELSE'S JUMPS/2. Complete but need image work/A-E Jumps</v>
      </c>
    </row>
    <row r="1565">
      <c r="A1565" s="12" t="str">
        <f>HYPERLINK("https://drive.google.com/file/d/1IZ12zigA6wGOn9jkDA8-eb-jbwFLUnaJ/view?usp=drivesdk","Dead Space JumpChain.pdf")</f>
        <v>Dead Space JumpChain.pdf</v>
      </c>
      <c r="B1565" s="12" t="str">
        <f t="shared" si="191"/>
        <v>DriveAnon's 4chan Drive/2. EVERYONE ELSE'S JUMPS/2. Complete but need image work/A-E Jumps</v>
      </c>
    </row>
    <row r="1566">
      <c r="A1566" s="12" t="str">
        <f>HYPERLINK("https://drive.google.com/file/d/1JlG87MGHbUuKP-VkjbYGXPC9OjXVLwwn/view?usp=drivesdk","BOMBERMAN 64 Second Attack Jumpchain.pdf")</f>
        <v>BOMBERMAN 64 Second Attack Jumpchain.pdf</v>
      </c>
      <c r="B1566" s="12" t="str">
        <f t="shared" si="191"/>
        <v>DriveAnon's 4chan Drive/2. EVERYONE ELSE'S JUMPS/2. Complete but need image work/A-E Jumps</v>
      </c>
    </row>
    <row r="1567">
      <c r="A1567" s="12" t="str">
        <f>HYPERLINK("https://drive.google.com/file/d/1NURh-W8Xw2tQ8kCm3YpzJ3opnM7bfr96/view?usp=drivesdk","Assassins Creed JumpChain.pdf")</f>
        <v>Assassins Creed JumpChain.pdf</v>
      </c>
      <c r="B1567" s="12" t="str">
        <f t="shared" si="191"/>
        <v>DriveAnon's 4chan Drive/2. EVERYONE ELSE'S JUMPS/2. Complete but need image work/A-E Jumps</v>
      </c>
    </row>
    <row r="1568">
      <c r="A1568" s="12" t="str">
        <f>HYPERLINK("https://drive.google.com/file/d/1PduqyW8V6ISGa7nXAk0gvgmw3Ucy4f7X/view?usp=drivesdk","Battleborn JumpChain.pdf")</f>
        <v>Battleborn JumpChain.pdf</v>
      </c>
      <c r="B1568" s="12" t="str">
        <f t="shared" si="191"/>
        <v>DriveAnon's 4chan Drive/2. EVERYONE ELSE'S JUMPS/2. Complete but need image work/A-E Jumps</v>
      </c>
    </row>
    <row r="1569">
      <c r="A1569" s="12" t="str">
        <f>HYPERLINK("https://drive.google.com/file/d/1Q9JoUIl7lB8GLb9-0MNGsX0MJsSm7nQb/view?usp=drivesdk","City Skylines JumpChain.pdf")</f>
        <v>City Skylines JumpChain.pdf</v>
      </c>
      <c r="B1569" s="12" t="str">
        <f t="shared" si="191"/>
        <v>DriveAnon's 4chan Drive/2. EVERYONE ELSE'S JUMPS/2. Complete but need image work/A-E Jumps</v>
      </c>
    </row>
    <row r="1570">
      <c r="A1570" s="12" t="str">
        <f>HYPERLINK("https://drive.google.com/file/d/1QshgI1fmDyint3rPi1TCCUradqA59mrn/view?usp=drivesdk","Arcanum Of Steamworks And Magic Obscura JumpChain.pdf")</f>
        <v>Arcanum Of Steamworks And Magic Obscura JumpChain.pdf</v>
      </c>
      <c r="B1570" s="12" t="str">
        <f t="shared" si="191"/>
        <v>DriveAnon's 4chan Drive/2. EVERYONE ELSE'S JUMPS/2. Complete but need image work/A-E Jumps</v>
      </c>
    </row>
    <row r="1571">
      <c r="A1571" s="12" t="str">
        <f>HYPERLINK("https://drive.google.com/file/d/1RgOwrX6a_OmSTeLzAdKzkBuAvjBwwNas/view?usp=drivesdk","Disgaea 1-D2 JumpChain.pdf")</f>
        <v>Disgaea 1-D2 JumpChain.pdf</v>
      </c>
      <c r="B1571" s="12" t="str">
        <f t="shared" si="191"/>
        <v>DriveAnon's 4chan Drive/2. EVERYONE ELSE'S JUMPS/2. Complete but need image work/A-E Jumps</v>
      </c>
    </row>
    <row r="1572">
      <c r="A1572" s="12" t="str">
        <f>HYPERLINK("https://drive.google.com/file/d/1TfKPAfJYt98pIpjIYq7MKhKAAvCfPfow/view?usp=drivesdk","Dahak Chronicles Jumpchain.pdf")</f>
        <v>Dahak Chronicles Jumpchain.pdf</v>
      </c>
      <c r="B1572" s="12" t="str">
        <f t="shared" si="191"/>
        <v>DriveAnon's 4chan Drive/2. EVERYONE ELSE'S JUMPS/2. Complete but need image work/A-E Jumps</v>
      </c>
    </row>
    <row r="1573">
      <c r="A1573" s="12" t="str">
        <f>HYPERLINK("https://drive.google.com/file/d/1Vh366Uem4x3XyjNrqqKoNNx6wDWJ5fdt/view?usp=drivesdk","Binbougami Ga! JumpChain.pdf")</f>
        <v>Binbougami Ga! JumpChain.pdf</v>
      </c>
      <c r="B1573" s="12" t="str">
        <f t="shared" si="191"/>
        <v>DriveAnon's 4chan Drive/2. EVERYONE ELSE'S JUMPS/2. Complete but need image work/A-E Jumps</v>
      </c>
    </row>
    <row r="1574">
      <c r="A1574" s="12" t="str">
        <f>HYPERLINK("https://drive.google.com/file/d/1Ywe20mlJbPbGxALcqsh9koIVyF0NbdKY/view?usp=drivesdk","Dungeon Keeper Ami JumpChain.pdf")</f>
        <v>Dungeon Keeper Ami JumpChain.pdf</v>
      </c>
      <c r="B1574" s="12" t="str">
        <f t="shared" si="191"/>
        <v>DriveAnon's 4chan Drive/2. EVERYONE ELSE'S JUMPS/2. Complete but need image work/A-E Jumps</v>
      </c>
    </row>
    <row r="1575">
      <c r="A1575" s="12" t="str">
        <f>HYPERLINK("https://drive.google.com/file/d/1_ymtzGWS-EWG8QjG5I7YexWkBhrDzdyZ/view?usp=drivesdk","Captain SNES JumpChain.pdf")</f>
        <v>Captain SNES JumpChain.pdf</v>
      </c>
      <c r="B1575" s="12" t="str">
        <f t="shared" si="191"/>
        <v>DriveAnon's 4chan Drive/2. EVERYONE ELSE'S JUMPS/2. Complete but need image work/A-E Jumps</v>
      </c>
    </row>
    <row r="1576">
      <c r="A1576" s="12" t="str">
        <f>HYPERLINK("https://drive.google.com/file/d/1aA6UiRalWtLR1-oqAYtwehV7UMv0ETFj/view?usp=drivesdk","Dwarf Fortress JumpChain.pdf")</f>
        <v>Dwarf Fortress JumpChain.pdf</v>
      </c>
      <c r="B1576" s="12" t="str">
        <f t="shared" si="191"/>
        <v>DriveAnon's 4chan Drive/2. EVERYONE ELSE'S JUMPS/2. Complete but need image work/A-E Jumps</v>
      </c>
    </row>
    <row r="1577">
      <c r="A1577" s="12" t="str">
        <f>HYPERLINK("https://drive.google.com/file/d/1clDrFmg-hS_PqOd2jwFi0laU3I_ZYBFy/view?usp=drivesdk","Castle of Puzzles JumpChain.pdf")</f>
        <v>Castle of Puzzles JumpChain.pdf</v>
      </c>
      <c r="B1577" s="12" t="str">
        <f t="shared" si="191"/>
        <v>DriveAnon's 4chan Drive/2. EVERYONE ELSE'S JUMPS/2. Complete but need image work/A-E Jumps</v>
      </c>
    </row>
    <row r="1578">
      <c r="A1578" s="12" t="str">
        <f>HYPERLINK("https://drive.google.com/file/d/1e_zxP-yI8Od9pYSKlM0yXKC95lPeGTpt/view?usp=drivesdk","Capt. Simian _ the Space Monkeys JumpChain.pdf")</f>
        <v>Capt. Simian _ the Space Monkeys JumpChain.pdf</v>
      </c>
      <c r="B1578" s="12" t="str">
        <f t="shared" si="191"/>
        <v>DriveAnon's 4chan Drive/2. EVERYONE ELSE'S JUMPS/2. Complete but need image work/A-E Jumps</v>
      </c>
    </row>
    <row r="1579">
      <c r="A1579" s="12" t="str">
        <f>HYPERLINK("https://drive.google.com/file/d/1hnSCndFwp_PSFwCizeS0YPTCkrw9y-6q/view?usp=drivesdk","Bartimaeus Sequence JumpChain.pdf")</f>
        <v>Bartimaeus Sequence JumpChain.pdf</v>
      </c>
      <c r="B1579" s="12" t="str">
        <f t="shared" si="191"/>
        <v>DriveAnon's 4chan Drive/2. EVERYONE ELSE'S JUMPS/2. Complete but need image work/A-E Jumps</v>
      </c>
    </row>
    <row r="1580">
      <c r="A1580" s="12" t="str">
        <f>HYPERLINK("https://drive.google.com/file/d/1o2nhlegmE44y9IHL8NT3ApjYLD5hXGDO/view?usp=drivesdk","Date A Live JumpChain.pdf")</f>
        <v>Date A Live JumpChain.pdf</v>
      </c>
      <c r="B1580" s="12" t="str">
        <f t="shared" si="191"/>
        <v>DriveAnon's 4chan Drive/2. EVERYONE ELSE'S JUMPS/2. Complete but need image work/A-E Jumps</v>
      </c>
    </row>
    <row r="1581">
      <c r="A1581" s="12" t="str">
        <f>HYPERLINK("https://drive.google.com/file/d/1pRVYXSUDNkhZ8VLDkgUvbou5qrOp8REt/view?usp=drivesdk","Charmed JumpChain.pdf")</f>
        <v>Charmed JumpChain.pdf</v>
      </c>
      <c r="B1581" s="12" t="str">
        <f t="shared" si="191"/>
        <v>DriveAnon's 4chan Drive/2. EVERYONE ELSE'S JUMPS/2. Complete but need image work/A-E Jumps</v>
      </c>
    </row>
    <row r="1582">
      <c r="A1582" s="12" t="str">
        <f>HYPERLINK("https://drive.google.com/file/d/1yXO5QLnBzDgslyly2L2q4bmAfV2tYo_u/view?usp=drivesdk","Ace Attorney JumpChain.pdf")</f>
        <v>Ace Attorney JumpChain.pdf</v>
      </c>
      <c r="B1582" s="12" t="str">
        <f t="shared" si="191"/>
        <v>DriveAnon's 4chan Drive/2. EVERYONE ELSE'S JUMPS/2. Complete but need image work/A-E Jumps</v>
      </c>
    </row>
    <row r="1583">
      <c r="A1583" s="12" t="str">
        <f>HYPERLINK("https://drive.google.com/file/d/1ztY40rwIyvY3iON0zPk6Md6dkseFXEmF/view?usp=drivesdk","Asterix the Gaul JumpChain.pdf")</f>
        <v>Asterix the Gaul JumpChain.pdf</v>
      </c>
      <c r="B1583" s="12" t="str">
        <f t="shared" si="191"/>
        <v>DriveAnon's 4chan Drive/2. EVERYONE ELSE'S JUMPS/2. Complete but need image work/A-E Jumps</v>
      </c>
    </row>
    <row r="1584">
      <c r="A1584" s="12" t="str">
        <f>HYPERLINK("https://drive.google.com/file/d/1-pRM8MZ57zQwQmfWSbo9E7kgCE_6P95V/view?usp=drivesdk","Dungeon Keeper JumpChain.pdf")</f>
        <v>Dungeon Keeper JumpChain.pdf</v>
      </c>
      <c r="B1584" s="12" t="str">
        <f t="shared" si="191"/>
        <v>DriveAnon's 4chan Drive/2. EVERYONE ELSE'S JUMPS/2. Complete but need image work/A-E Jumps</v>
      </c>
    </row>
    <row r="1585">
      <c r="A1585" s="12" t="str">
        <f>HYPERLINK("https://drive.google.com/file/d/12W0qqN-szwqXAb5CTXHMMZMivwvfWKLG/view?usp=drivesdk","Baten Kaitos Origins JumpChain.pdf")</f>
        <v>Baten Kaitos Origins JumpChain.pdf</v>
      </c>
      <c r="B1585" s="12" t="str">
        <f t="shared" si="191"/>
        <v>DriveAnon's 4chan Drive/2. EVERYONE ELSE'S JUMPS/2. Complete but need image work/A-E Jumps</v>
      </c>
    </row>
    <row r="1586">
      <c r="A1586" s="12" t="str">
        <f>HYPERLINK("https://drive.google.com/file/d/14PzPLBMbCc2FUGFW_5xzDTKd5wBbiPxg/view?usp=drivesdk","Chick Tract JumpChain.pdf")</f>
        <v>Chick Tract JumpChain.pdf</v>
      </c>
      <c r="B1586" s="12" t="str">
        <f t="shared" si="191"/>
        <v>DriveAnon's 4chan Drive/2. EVERYONE ELSE'S JUMPS/2. Complete but need image work/A-E Jumps</v>
      </c>
    </row>
    <row r="1587">
      <c r="A1587" s="12" t="str">
        <f>HYPERLINK("https://drive.google.com/file/d/14gkpfB-hEDsxdI_F-oqYK8O4LKahTfaI/view?usp=drivesdk","Anarchy Reigns.pdf")</f>
        <v>Anarchy Reigns.pdf</v>
      </c>
      <c r="B1587" s="12" t="str">
        <f t="shared" si="191"/>
        <v>DriveAnon's 4chan Drive/2. EVERYONE ELSE'S JUMPS/2. Complete but need image work/A-E Jumps</v>
      </c>
    </row>
    <row r="1588">
      <c r="A1588" s="12" t="str">
        <f>HYPERLINK("https://drive.google.com/file/d/14xK2IheIPJAcZLkH20r9NFr5j0Xutkim/view?usp=drivesdk","Ed Edd _n Eddy Jumpchain.pdf")</f>
        <v>Ed Edd _n Eddy Jumpchain.pdf</v>
      </c>
      <c r="B1588" s="12" t="str">
        <f t="shared" si="191"/>
        <v>DriveAnon's 4chan Drive/2. EVERYONE ELSE'S JUMPS/2. Complete but need image work/A-E Jumps</v>
      </c>
    </row>
    <row r="1589">
      <c r="A1589" s="12" t="str">
        <f>HYPERLINK("https://drive.google.com/file/d/15yiFz9NlQFPrYriz9KryRsqDyeRku5v6/view?usp=drivesdk","Bubblegum Crisis 2032 Jumpchain.pdf")</f>
        <v>Bubblegum Crisis 2032 Jumpchain.pdf</v>
      </c>
      <c r="B1589" s="12" t="str">
        <f t="shared" si="191"/>
        <v>DriveAnon's 4chan Drive/2. EVERYONE ELSE'S JUMPS/2. Complete but need image work/A-E Jumps</v>
      </c>
    </row>
    <row r="1590">
      <c r="A1590" s="12" t="str">
        <f>HYPERLINK("https://drive.google.com/file/d/1DProdgKyq8jOPrcbdaUpreyL4tgsqk1f/view?usp=drivesdk","Blade Runner 2049 JumpChain.pdf")</f>
        <v>Blade Runner 2049 JumpChain.pdf</v>
      </c>
      <c r="B1590" s="12" t="str">
        <f t="shared" si="191"/>
        <v>DriveAnon's 4chan Drive/2. EVERYONE ELSE'S JUMPS/2. Complete but need image work/A-E Jumps</v>
      </c>
    </row>
    <row r="1591">
      <c r="A1591" s="12" t="str">
        <f>HYPERLINK("https://drive.google.com/file/d/1JEN2-WVNNrHDUdZOu12xjntvSqT0_ajA/view?usp=drivesdk","Elite Beat Agents Jump.pdf")</f>
        <v>Elite Beat Agents Jump.pdf</v>
      </c>
      <c r="B1591" s="12" t="str">
        <f t="shared" si="191"/>
        <v>DriveAnon's 4chan Drive/2. EVERYONE ELSE'S JUMPS/2. Complete but need image work/A-E Jumps</v>
      </c>
    </row>
    <row r="1592">
      <c r="A1592" s="12" t="str">
        <f>HYPERLINK("https://drive.google.com/file/d/1JrsRTwpTx7z_pFbaNnbQsApDh7KNbD7J/view?usp=drivesdk","AKB49 - Renai Kinshi Jourei JumpChain.pdf.pdf")</f>
        <v>AKB49 - Renai Kinshi Jourei JumpChain.pdf.pdf</v>
      </c>
      <c r="B1592" s="12" t="str">
        <f t="shared" si="191"/>
        <v>DriveAnon's 4chan Drive/2. EVERYONE ELSE'S JUMPS/2. Complete but need image work/A-E Jumps</v>
      </c>
    </row>
    <row r="1593">
      <c r="A1593" s="12" t="str">
        <f>HYPERLINK("https://drive.google.com/file/d/1OxiyJSPEka98Cb5qNVaUoqZ1EXb5sBun/view?usp=drivesdk","Baka to Test to Shoukanjuu JumpChain.pdf")</f>
        <v>Baka to Test to Shoukanjuu JumpChain.pdf</v>
      </c>
      <c r="B1593" s="12" t="str">
        <f t="shared" si="191"/>
        <v>DriveAnon's 4chan Drive/2. EVERYONE ELSE'S JUMPS/2. Complete but need image work/A-E Jumps</v>
      </c>
    </row>
    <row r="1594">
      <c r="A1594" s="12" t="str">
        <f>HYPERLINK("https://drive.google.com/file/d/1PT67HX4IeUSE2OhBifp82BrdP_nx0RNl/view?usp=drivesdk","Cave Story jumpChain.pdf")</f>
        <v>Cave Story jumpChain.pdf</v>
      </c>
      <c r="B1594" s="12" t="str">
        <f t="shared" si="191"/>
        <v>DriveAnon's 4chan Drive/2. EVERYONE ELSE'S JUMPS/2. Complete but need image work/A-E Jumps</v>
      </c>
    </row>
    <row r="1595">
      <c r="A1595" s="12" t="str">
        <f>HYPERLINK("https://drive.google.com/file/d/1Uc27cheGLDP0jAGOkdnMUXcoMBSdaODV/view?usp=drivesdk","Basilisk JumpChain.pdf")</f>
        <v>Basilisk JumpChain.pdf</v>
      </c>
      <c r="B1595" s="12" t="str">
        <f t="shared" si="191"/>
        <v>DriveAnon's 4chan Drive/2. EVERYONE ELSE'S JUMPS/2. Complete but need image work/A-E Jumps</v>
      </c>
    </row>
    <row r="1596">
      <c r="A1596" s="12" t="str">
        <f>HYPERLINK("https://drive.google.com/file/d/1V3jHNl8EqR3SOrMi4dbfrYT6uVkYAgHV/view?usp=drivesdk","Crash Bandicoot JumpChain.pdf")</f>
        <v>Crash Bandicoot JumpChain.pdf</v>
      </c>
      <c r="B1596" s="12" t="str">
        <f t="shared" si="191"/>
        <v>DriveAnon's 4chan Drive/2. EVERYONE ELSE'S JUMPS/2. Complete but need image work/A-E Jumps</v>
      </c>
    </row>
    <row r="1597">
      <c r="A1597" s="12" t="str">
        <f>HYPERLINK("https://drive.google.com/file/d/1VRfL9nL2Iv6YHwORDokRh8KGRLGFih6f/view?usp=drivesdk","Evo Search for Eden JumpChain.pdf")</f>
        <v>Evo Search for Eden JumpChain.pdf</v>
      </c>
      <c r="B1597" s="12" t="str">
        <f t="shared" si="191"/>
        <v>DriveAnon's 4chan Drive/2. EVERYONE ELSE'S JUMPS/2. Complete but need image work/A-E Jumps</v>
      </c>
    </row>
    <row r="1598">
      <c r="A1598" s="12" t="str">
        <f>HYPERLINK("https://drive.google.com/file/d/1W1ZnoKxc8rAenL2_atIXOAS6Z3vvoKoc/view?usp=drivesdk","Cardfight! Vanguard JumpChain.pdf")</f>
        <v>Cardfight! Vanguard JumpChain.pdf</v>
      </c>
      <c r="B1598" s="12" t="str">
        <f t="shared" si="191"/>
        <v>DriveAnon's 4chan Drive/2. EVERYONE ELSE'S JUMPS/2. Complete but need image work/A-E Jumps</v>
      </c>
    </row>
    <row r="1599">
      <c r="A1599" s="12" t="str">
        <f>HYPERLINK("https://drive.google.com/file/d/1WkZt_8m4W2JuhhvFzcqTfarkEgn3vR9p/view?usp=drivesdk","Circle of Magic JumpChain.pdf")</f>
        <v>Circle of Magic JumpChain.pdf</v>
      </c>
      <c r="B1599" s="12" t="str">
        <f t="shared" si="191"/>
        <v>DriveAnon's 4chan Drive/2. EVERYONE ELSE'S JUMPS/2. Complete but need image work/A-E Jumps</v>
      </c>
    </row>
    <row r="1600">
      <c r="A1600" s="12" t="str">
        <f>HYPERLINK("https://drive.google.com/file/d/1Xg-DgizT_p0_4c7GD86QHZlaJxijLpm8/view?usp=drivesdk","Babylon 5 Jumpchain 0.5.5.pdf")</f>
        <v>Babylon 5 Jumpchain 0.5.5.pdf</v>
      </c>
      <c r="B1600" s="12" t="str">
        <f t="shared" si="191"/>
        <v>DriveAnon's 4chan Drive/2. EVERYONE ELSE'S JUMPS/2. Complete but need image work/A-E Jumps</v>
      </c>
    </row>
    <row r="1601">
      <c r="A1601" s="12" t="str">
        <f>HYPERLINK("https://drive.google.com/file/d/1YSUhK7MoVkiPtiYQ94So9rK_hrc19p5c/view?usp=drivesdk","BeyBlade JumpChain.pdf")</f>
        <v>BeyBlade JumpChain.pdf</v>
      </c>
      <c r="B1601" s="12" t="str">
        <f t="shared" si="191"/>
        <v>DriveAnon's 4chan Drive/2. EVERYONE ELSE'S JUMPS/2. Complete but need image work/A-E Jumps</v>
      </c>
    </row>
    <row r="1602">
      <c r="A1602" s="12" t="str">
        <f>HYPERLINK("https://drive.google.com/file/d/1aprGDJutvwQ1oh_6qoHNeuqbWA2fVJBg/view?usp=drivesdk","Bloody Roar JumpChain.pdf")</f>
        <v>Bloody Roar JumpChain.pdf</v>
      </c>
      <c r="B1602" s="12" t="str">
        <f t="shared" si="191"/>
        <v>DriveAnon's 4chan Drive/2. EVERYONE ELSE'S JUMPS/2. Complete but need image work/A-E Jumps</v>
      </c>
    </row>
    <row r="1603">
      <c r="A1603" s="12" t="str">
        <f>HYPERLINK("https://drive.google.com/file/d/1ekvAjIV2voyu-bf_dUwEspdmgPt1GQKR/view?usp=drivesdk","Anno 2070 Jump chain.pdf")</f>
        <v>Anno 2070 Jump chain.pdf</v>
      </c>
      <c r="B1603" s="12" t="str">
        <f t="shared" si="191"/>
        <v>DriveAnon's 4chan Drive/2. EVERYONE ELSE'S JUMPS/2. Complete but need image work/A-E Jumps</v>
      </c>
    </row>
    <row r="1604">
      <c r="A1604" s="12" t="str">
        <f>HYPERLINK("https://drive.google.com/file/d/1gKaQAm-XILIVIE6FV2X_LaJkHdWcLBAC/view?usp=drivesdk","Death Note JumpChain.pdf")</f>
        <v>Death Note JumpChain.pdf</v>
      </c>
      <c r="B1604" s="12" t="str">
        <f t="shared" si="191"/>
        <v>DriveAnon's 4chan Drive/2. EVERYONE ELSE'S JUMPS/2. Complete but need image work/A-E Jumps</v>
      </c>
    </row>
    <row r="1605">
      <c r="A1605" s="12" t="str">
        <f>HYPERLINK("https://drive.google.com/file/d/1iH6CcltgsguPfzVeUK1Lb4i6NL9dxkji/view?usp=drivesdk","Cuphead JumpChain.pdf")</f>
        <v>Cuphead JumpChain.pdf</v>
      </c>
      <c r="B1605" s="12" t="str">
        <f t="shared" si="191"/>
        <v>DriveAnon's 4chan Drive/2. EVERYONE ELSE'S JUMPS/2. Complete but need image work/A-E Jumps</v>
      </c>
    </row>
    <row r="1606">
      <c r="A1606" s="12" t="str">
        <f>HYPERLINK("https://drive.google.com/file/d/1kNNar-SfMgJJ63wKagUFlTHJEHjnVgwd/view?usp=drivesdk","Berserk JumpChain.pdf")</f>
        <v>Berserk JumpChain.pdf</v>
      </c>
      <c r="B1606" s="12" t="str">
        <f t="shared" si="191"/>
        <v>DriveAnon's 4chan Drive/2. EVERYONE ELSE'S JUMPS/2. Complete but need image work/A-E Jumps</v>
      </c>
    </row>
    <row r="1607">
      <c r="A1607" s="12" t="str">
        <f>HYPERLINK("https://drive.google.com/file/d/1kgHOUY45qnDTf5rGmiLCkmIuZYXi_7jF/view?usp=drivesdk","Ah! My Goddess Jumpchain.pdf")</f>
        <v>Ah! My Goddess Jumpchain.pdf</v>
      </c>
      <c r="B1607" s="12" t="str">
        <f t="shared" si="191"/>
        <v>DriveAnon's 4chan Drive/2. EVERYONE ELSE'S JUMPS/2. Complete but need image work/A-E Jumps</v>
      </c>
    </row>
    <row r="1608">
      <c r="A1608" s="12" t="str">
        <f>HYPERLINK("https://drive.google.com/file/d/1kwKJBvHIdNFisjPy7Tbr6sGJ3Nxovvj_/view?usp=drivesdk","Dragon Warriors Monsters JumpChain.pdf")</f>
        <v>Dragon Warriors Monsters JumpChain.pdf</v>
      </c>
      <c r="B1608" s="12" t="str">
        <f t="shared" si="191"/>
        <v>DriveAnon's 4chan Drive/2. EVERYONE ELSE'S JUMPS/2. Complete but need image work/A-E Jumps</v>
      </c>
    </row>
    <row r="1609">
      <c r="A1609" s="12" t="str">
        <f>HYPERLINK("https://drive.google.com/file/d/1lgycfVXjElXJNoWoSC9O6R5tMFELAQeC/view?usp=drivesdk","Def Jam Jumpchain.pdf")</f>
        <v>Def Jam Jumpchain.pdf</v>
      </c>
      <c r="B1609" s="12" t="str">
        <f t="shared" si="191"/>
        <v>DriveAnon's 4chan Drive/2. EVERYONE ELSE'S JUMPS/2. Complete but need image work/A-E Jumps</v>
      </c>
    </row>
    <row r="1610">
      <c r="A1610" s="12" t="str">
        <f>HYPERLINK("https://drive.google.com/file/d/1tNscbZxscj0d3NSrojxIx1XLCY2fxUgo/view?usp=drivesdk","Bionicle JumpChain.pdf")</f>
        <v>Bionicle JumpChain.pdf</v>
      </c>
      <c r="B1610" s="12" t="str">
        <f t="shared" si="191"/>
        <v>DriveAnon's 4chan Drive/2. EVERYONE ELSE'S JUMPS/2. Complete but need image work/A-E Jumps</v>
      </c>
    </row>
    <row r="1611">
      <c r="A1611" s="12" t="str">
        <f>HYPERLINK("https://drive.google.com/file/d/1vHPo45sZ6rtvDYPUd23KZC0So4mi0-Dj/view?usp=drivesdk","Counter-Strike Jumpchain.pdf")</f>
        <v>Counter-Strike Jumpchain.pdf</v>
      </c>
      <c r="B1611" s="12" t="str">
        <f t="shared" si="191"/>
        <v>DriveAnon's 4chan Drive/2. EVERYONE ELSE'S JUMPS/2. Complete but need image work/A-E Jumps</v>
      </c>
    </row>
    <row r="1612">
      <c r="A1612" s="12" t="str">
        <f>HYPERLINK("https://drive.google.com/file/d/131iRRsT8knJRvs9_CQ9wNm1vD43WnRtS/view?usp=drivesdk","Captain Planet JumpChain.pdf")</f>
        <v>Captain Planet JumpChain.pdf</v>
      </c>
      <c r="B1612" s="12" t="str">
        <f t="shared" si="191"/>
        <v>DriveAnon's 4chan Drive/2. EVERYONE ELSE'S JUMPS/2. Complete but need image work/A-E Jumps</v>
      </c>
    </row>
    <row r="1613">
      <c r="A1613" s="12" t="str">
        <f>HYPERLINK("https://drive.google.com/file/d/19RFtmAvFvHHTkVJgg-Fd9QGiVLIrjA2l/view?usp=drivesdk","Chibi-Robo Jumpchain.pdf")</f>
        <v>Chibi-Robo Jumpchain.pdf</v>
      </c>
      <c r="B1613" s="12" t="str">
        <f t="shared" si="191"/>
        <v>DriveAnon's 4chan Drive/2. EVERYONE ELSE'S JUMPS/2. Complete but need image work/A-E Jumps</v>
      </c>
    </row>
    <row r="1614">
      <c r="A1614" s="12" t="str">
        <f>HYPERLINK("https://drive.google.com/file/d/1FBPrMhuMjr_m7ov5JcOQCiPrp274O3hs/view?usp=drivesdk","Dodgeball JumpChain.pdf")</f>
        <v>Dodgeball JumpChain.pdf</v>
      </c>
      <c r="B1614" s="12" t="str">
        <f t="shared" si="191"/>
        <v>DriveAnon's 4chan Drive/2. EVERYONE ELSE'S JUMPS/2. Complete but need image work/A-E Jumps</v>
      </c>
    </row>
    <row r="1615">
      <c r="A1615" s="12" t="str">
        <f>HYPERLINK("https://drive.google.com/file/d/1VKbtzXfcfyJ3TZ1OyKeMBrP5e_RrwFjX/view?usp=drivesdk","Austin Powers JumpChain.pdf")</f>
        <v>Austin Powers JumpChain.pdf</v>
      </c>
      <c r="B1615" s="12" t="str">
        <f t="shared" si="191"/>
        <v>DriveAnon's 4chan Drive/2. EVERYONE ELSE'S JUMPS/2. Complete but need image work/A-E Jumps</v>
      </c>
    </row>
    <row r="1616">
      <c r="A1616" s="12" t="str">
        <f>HYPERLINK("https://drive.google.com/file/d/1f-aakeZ2R0VXjVMvqhfLhv4ldSDRGFOG/view?usp=drivesdk","Advance Wars JumpChain.pdf")</f>
        <v>Advance Wars JumpChain.pdf</v>
      </c>
      <c r="B1616" s="12" t="str">
        <f t="shared" si="191"/>
        <v>DriveAnon's 4chan Drive/2. EVERYONE ELSE'S JUMPS/2. Complete but need image work/A-E Jumps</v>
      </c>
    </row>
    <row r="1617">
      <c r="A1617" s="12" t="str">
        <f>HYPERLINK("https://drive.google.com/file/d/1fudKCJ6KwcxDKyhYwShLRdb6mD8H8tyJ/view?usp=drivesdk","Bio Apocalypse JumpChain.pdf")</f>
        <v>Bio Apocalypse JumpChain.pdf</v>
      </c>
      <c r="B1617" s="12" t="str">
        <f t="shared" si="191"/>
        <v>DriveAnon's 4chan Drive/2. EVERYONE ELSE'S JUMPS/2. Complete but need image work/A-E Jumps</v>
      </c>
    </row>
    <row r="1618">
      <c r="A1618" s="12" t="str">
        <f>HYPERLINK("https://drive.google.com/file/d/1ho-hWys8RXIW7-YjqmwJo-H_Bn5ctcWS/view?usp=drivesdk","Claymore JumpChain.pdf")</f>
        <v>Claymore JumpChain.pdf</v>
      </c>
      <c r="B1618" s="12" t="str">
        <f t="shared" si="191"/>
        <v>DriveAnon's 4chan Drive/2. EVERYONE ELSE'S JUMPS/2. Complete but need image work/A-E Jumps</v>
      </c>
    </row>
    <row r="1619">
      <c r="A1619" s="12" t="str">
        <f>HYPERLINK("https://drive.google.com/file/d/1ziVLqBcqoh9VwKV4EDatHD8VEAiZSL8S/view?usp=drivesdk","Carnivores JumpChain.pdf")</f>
        <v>Carnivores JumpChain.pdf</v>
      </c>
      <c r="B1619" s="12" t="str">
        <f t="shared" si="191"/>
        <v>DriveAnon's 4chan Drive/2. EVERYONE ELSE'S JUMPS/2. Complete but need image work/A-E Jumps</v>
      </c>
    </row>
    <row r="1620">
      <c r="A1620" s="12" t="str">
        <f>HYPERLINK("https://drive.google.com/file/d/12o0RaTj3xgdg1knNPYLbdhI7CCYj6Udo/view?usp=drivesdk","Chronicles of Narnia JumpChain.pdf")</f>
        <v>Chronicles of Narnia JumpChain.pdf</v>
      </c>
      <c r="B1620" s="12" t="str">
        <f t="shared" si="191"/>
        <v>DriveAnon's 4chan Drive/2. EVERYONE ELSE'S JUMPS/2. Complete but need image work/A-E Jumps</v>
      </c>
    </row>
    <row r="1621">
      <c r="A1621" s="12" t="str">
        <f>HYPERLINK("https://drive.google.com/file/d/140CJVzZM8a3aLtj3lN96D8JRuTokcd2n/view?usp=drivesdk","DUNE JumpChain.pdf")</f>
        <v>DUNE JumpChain.pdf</v>
      </c>
      <c r="B1621" s="12" t="str">
        <f t="shared" si="191"/>
        <v>DriveAnon's 4chan Drive/2. EVERYONE ELSE'S JUMPS/2. Complete but need image work/A-E Jumps</v>
      </c>
    </row>
    <row r="1622">
      <c r="A1622" s="12" t="str">
        <f>HYPERLINK("https://drive.google.com/file/d/16xaR_41_rEwrzsRurkTm2LtzqK0DFsC3/view?usp=drivesdk","A Certain Magical Index JumpChain.pdf")</f>
        <v>A Certain Magical Index JumpChain.pdf</v>
      </c>
      <c r="B1622" s="12" t="str">
        <f t="shared" si="191"/>
        <v>DriveAnon's 4chan Drive/2. EVERYONE ELSE'S JUMPS/2. Complete but need image work/A-E Jumps</v>
      </c>
    </row>
    <row r="1623">
      <c r="A1623" s="12" t="str">
        <f>HYPERLINK("https://drive.google.com/file/d/18eflgIDJYZBz_ui_aL2tJdsSTDQEVg83/view?usp=drivesdk","Ciel Nosurge JumpChain.pdf")</f>
        <v>Ciel Nosurge JumpChain.pdf</v>
      </c>
      <c r="B1623" s="12" t="str">
        <f t="shared" si="191"/>
        <v>DriveAnon's 4chan Drive/2. EVERYONE ELSE'S JUMPS/2. Complete but need image work/A-E Jumps</v>
      </c>
    </row>
    <row r="1624">
      <c r="A1624" s="12" t="str">
        <f>HYPERLINK("https://drive.google.com/file/d/19WFJvxRBgm5lNuw7j-o_qDip4U7Mtqav/view?usp=drivesdk","Cooking Show Jumpchain.pdf")</f>
        <v>Cooking Show Jumpchain.pdf</v>
      </c>
      <c r="B1624" s="12" t="str">
        <f t="shared" si="191"/>
        <v>DriveAnon's 4chan Drive/2. EVERYONE ELSE'S JUMPS/2. Complete but need image work/A-E Jumps</v>
      </c>
    </row>
    <row r="1625">
      <c r="A1625" s="12" t="str">
        <f>HYPERLINK("https://drive.google.com/file/d/1AIZ_1fgFc8_IVECkSw_AODXDvggnn7eO/view?usp=drivesdk","Cthulhu Saves The World Jumpchain.pdf")</f>
        <v>Cthulhu Saves The World Jumpchain.pdf</v>
      </c>
      <c r="B1625" s="12" t="str">
        <f t="shared" si="191"/>
        <v>DriveAnon's 4chan Drive/2. EVERYONE ELSE'S JUMPS/2. Complete but need image work/A-E Jumps</v>
      </c>
    </row>
    <row r="1626">
      <c r="A1626" s="12" t="str">
        <f>HYPERLINK("https://drive.google.com/file/d/1CZrsYo--_DhFMYGF_jAXhppuveuBScRW/view?usp=drivesdk","Demon King Daimao JumpChain.pdf")</f>
        <v>Demon King Daimao JumpChain.pdf</v>
      </c>
      <c r="B1626" s="12" t="str">
        <f t="shared" si="191"/>
        <v>DriveAnon's 4chan Drive/2. EVERYONE ELSE'S JUMPS/2. Complete but need image work/A-E Jumps</v>
      </c>
    </row>
    <row r="1627">
      <c r="A1627" s="12" t="str">
        <f>HYPERLINK("https://drive.google.com/file/d/1CoNKNpucNt_yIT5luzJfBl9ASyw9tC5D/view?usp=drivesdk","Akagi JumpChain.pdf")</f>
        <v>Akagi JumpChain.pdf</v>
      </c>
      <c r="B1627" s="12" t="str">
        <f t="shared" si="191"/>
        <v>DriveAnon's 4chan Drive/2. EVERYONE ELSE'S JUMPS/2. Complete but need image work/A-E Jumps</v>
      </c>
    </row>
    <row r="1628">
      <c r="A1628" s="12" t="str">
        <f>HYPERLINK("https://drive.google.com/file/d/1EhbJ9VCP0atNQQIl_UnVp0yHi-m1OP_z/view?usp=drivesdk","Asura’s Wrath JumpChain.pdf")</f>
        <v>Asura’s Wrath JumpChain.pdf</v>
      </c>
      <c r="B1628" s="12" t="str">
        <f t="shared" si="191"/>
        <v>DriveAnon's 4chan Drive/2. EVERYONE ELSE'S JUMPS/2. Complete but need image work/A-E Jumps</v>
      </c>
    </row>
    <row r="1629">
      <c r="A1629" s="12" t="str">
        <f>HYPERLINK("https://drive.google.com/file/d/1FBBRsVhS3dM_Vde-sbH2wt_cxzXUbeuF/view?usp=drivesdk","Ar Tonelico JumpChain.pdf")</f>
        <v>Ar Tonelico JumpChain.pdf</v>
      </c>
      <c r="B1629" s="12" t="str">
        <f t="shared" si="191"/>
        <v>DriveAnon's 4chan Drive/2. EVERYONE ELSE'S JUMPS/2. Complete but need image work/A-E Jumps</v>
      </c>
    </row>
    <row r="1630">
      <c r="A1630" s="12" t="str">
        <f>HYPERLINK("https://drive.google.com/file/d/1G5FKgCNPT2ijrR3UXvUE6mthqziVh0by/view?usp=drivesdk","Bastion JumpChain.pdf")</f>
        <v>Bastion JumpChain.pdf</v>
      </c>
      <c r="B1630" s="12" t="str">
        <f t="shared" si="191"/>
        <v>DriveAnon's 4chan Drive/2. EVERYONE ELSE'S JUMPS/2. Complete but need image work/A-E Jumps</v>
      </c>
    </row>
    <row r="1631">
      <c r="A1631" s="12" t="str">
        <f>HYPERLINK("https://drive.google.com/file/d/1IHUnJHkCKEXHwndekLZ8hrLHyGgEwKif/view?usp=drivesdk","Axe Cop JumpChain.pdf")</f>
        <v>Axe Cop JumpChain.pdf</v>
      </c>
      <c r="B1631" s="12" t="str">
        <f t="shared" si="191"/>
        <v>DriveAnon's 4chan Drive/2. EVERYONE ELSE'S JUMPS/2. Complete but need image work/A-E Jumps</v>
      </c>
    </row>
    <row r="1632">
      <c r="A1632" s="12" t="str">
        <f>HYPERLINK("https://drive.google.com/file/d/1OXVEK2lafoTg-_9ESFQhaEz70Ed57jKR/view?usp=drivesdk","Aquaria JumpChain.pdf")</f>
        <v>Aquaria JumpChain.pdf</v>
      </c>
      <c r="B1632" s="12" t="str">
        <f t="shared" si="191"/>
        <v>DriveAnon's 4chan Drive/2. EVERYONE ELSE'S JUMPS/2. Complete but need image work/A-E Jumps</v>
      </c>
    </row>
    <row r="1633">
      <c r="A1633" s="12" t="str">
        <f>HYPERLINK("https://drive.google.com/file/d/1P4lDiXiDXJ9grHM7jJvwAHhFsX55skIk/view?usp=drivesdk","Akame ga Kill JumpChain.pdf")</f>
        <v>Akame ga Kill JumpChain.pdf</v>
      </c>
      <c r="B1633" s="12" t="str">
        <f t="shared" si="191"/>
        <v>DriveAnon's 4chan Drive/2. EVERYONE ELSE'S JUMPS/2. Complete but need image work/A-E Jumps</v>
      </c>
    </row>
    <row r="1634">
      <c r="A1634" s="12" t="str">
        <f>HYPERLINK("https://drive.google.com/file/d/1PCmpcVKl1Drj5uqYDGdIjGym8sqfQjW_/view?usp=drivesdk","Dan Vs. JumpChain.pdf")</f>
        <v>Dan Vs. JumpChain.pdf</v>
      </c>
      <c r="B1634" s="12" t="str">
        <f t="shared" si="191"/>
        <v>DriveAnon's 4chan Drive/2. EVERYONE ELSE'S JUMPS/2. Complete but need image work/A-E Jumps</v>
      </c>
    </row>
    <row r="1635">
      <c r="A1635" s="12" t="str">
        <f>HYPERLINK("https://drive.google.com/file/d/1RoEiDHrPMmCIiB7b4Lv09RBzwbxd9eqC/view?usp=drivesdk","Dead or Alive JumpChain.pdf")</f>
        <v>Dead or Alive JumpChain.pdf</v>
      </c>
      <c r="B1635" s="12" t="str">
        <f t="shared" si="191"/>
        <v>DriveAnon's 4chan Drive/2. EVERYONE ELSE'S JUMPS/2. Complete but need image work/A-E Jumps</v>
      </c>
    </row>
    <row r="1636">
      <c r="A1636" s="12" t="str">
        <f>HYPERLINK("https://drive.google.com/file/d/1SwtG0cGS6B7HabjBI893808Q_aoAjcUQ/view?usp=drivesdk","Comedy JumpChain.pdf")</f>
        <v>Comedy JumpChain.pdf</v>
      </c>
      <c r="B1636" s="12" t="str">
        <f t="shared" si="191"/>
        <v>DriveAnon's 4chan Drive/2. EVERYONE ELSE'S JUMPS/2. Complete but need image work/A-E Jumps</v>
      </c>
    </row>
    <row r="1637">
      <c r="A1637" s="12" t="str">
        <f>HYPERLINK("https://drive.google.com/file/d/1TXie6aI8LaN39nMGTXlxDkpQmCFR7sIn/view?usp=drivesdk","Bravely Default JumpChain.pdf")</f>
        <v>Bravely Default JumpChain.pdf</v>
      </c>
      <c r="B1637" s="12" t="str">
        <f t="shared" si="191"/>
        <v>DriveAnon's 4chan Drive/2. EVERYONE ELSE'S JUMPS/2. Complete but need image work/A-E Jumps</v>
      </c>
    </row>
    <row r="1638">
      <c r="A1638" s="12" t="str">
        <f>HYPERLINK("https://drive.google.com/file/d/1V2PPGi2CWXPLfcz8Fnm8uh4XEP8XCS7d/view?usp=drivesdk","Alien Jumpchain.pdf")</f>
        <v>Alien Jumpchain.pdf</v>
      </c>
      <c r="B1638" s="12" t="str">
        <f t="shared" si="191"/>
        <v>DriveAnon's 4chan Drive/2. EVERYONE ELSE'S JUMPS/2. Complete but need image work/A-E Jumps</v>
      </c>
    </row>
    <row r="1639">
      <c r="A1639" s="12" t="str">
        <f>HYPERLINK("https://drive.google.com/file/d/1X9Lg4B13oftck0b0XlnuqMFDPCPIM7IF/view?usp=drivesdk","Aion JumpChain.pdf")</f>
        <v>Aion JumpChain.pdf</v>
      </c>
      <c r="B1639" s="12" t="str">
        <f t="shared" si="191"/>
        <v>DriveAnon's 4chan Drive/2. EVERYONE ELSE'S JUMPS/2. Complete but need image work/A-E Jumps</v>
      </c>
    </row>
    <row r="1640">
      <c r="A1640" s="12" t="str">
        <f>HYPERLINK("https://drive.google.com/file/d/1XH2zhOSVdVteHe_nydTu0hzEaMnTJ808/view?usp=drivesdk","Command and Conquer  Tiberium Jumpchain.pdf")</f>
        <v>Command and Conquer  Tiberium Jumpchain.pdf</v>
      </c>
      <c r="B1640" s="12" t="str">
        <f t="shared" si="191"/>
        <v>DriveAnon's 4chan Drive/2. EVERYONE ELSE'S JUMPS/2. Complete but need image work/A-E Jumps</v>
      </c>
    </row>
    <row r="1641">
      <c r="A1641" s="12" t="str">
        <f>HYPERLINK("https://drive.google.com/file/d/1Xac2QkElW40_fvazxYFOlfqThkCz2USz/view?usp=drivesdk","Black Lagoon JumpChain.pdf")</f>
        <v>Black Lagoon JumpChain.pdf</v>
      </c>
      <c r="B1641" s="12" t="str">
        <f t="shared" si="191"/>
        <v>DriveAnon's 4chan Drive/2. EVERYONE ELSE'S JUMPS/2. Complete but need image work/A-E Jumps</v>
      </c>
    </row>
    <row r="1642">
      <c r="A1642" s="12" t="str">
        <f>HYPERLINK("https://drive.google.com/file/d/1XizF_aT6xczkHWgY4rLstUmR6vF0nic_/view?usp=drivesdk","Chroma Squad JumpChain.pdf")</f>
        <v>Chroma Squad JumpChain.pdf</v>
      </c>
      <c r="B1642" s="12" t="str">
        <f t="shared" si="191"/>
        <v>DriveAnon's 4chan Drive/2. EVERYONE ELSE'S JUMPS/2. Complete but need image work/A-E Jumps</v>
      </c>
    </row>
    <row r="1643">
      <c r="A1643" s="12" t="str">
        <f>HYPERLINK("https://drive.google.com/file/d/1Xt_dsuL7h4qXv1meFHEQDpZx3MaN95qU/view?usp=drivesdk","Bayonetta JumpChain.pdf")</f>
        <v>Bayonetta JumpChain.pdf</v>
      </c>
      <c r="B1643" s="12" t="str">
        <f t="shared" si="191"/>
        <v>DriveAnon's 4chan Drive/2. EVERYONE ELSE'S JUMPS/2. Complete but need image work/A-E Jumps</v>
      </c>
    </row>
    <row r="1644">
      <c r="A1644" s="12" t="str">
        <f>HYPERLINK("https://drive.google.com/file/d/1a-_K-DVl2lz-NdG2OaSPC8hGA9yPycyx/view?usp=drivesdk","Discworld JumpChain.pdf")</f>
        <v>Discworld JumpChain.pdf</v>
      </c>
      <c r="B1644" s="12" t="str">
        <f t="shared" si="191"/>
        <v>DriveAnon's 4chan Drive/2. EVERYONE ELSE'S JUMPS/2. Complete but need image work/A-E Jumps</v>
      </c>
    </row>
    <row r="1645">
      <c r="A1645" s="12" t="str">
        <f>HYPERLINK("https://drive.google.com/file/d/1a6SlnA_Ye75xtL9oLfhsTqvLZ-5VdxrJ/view?usp=drivesdk","Civilization JumpChain.pdf")</f>
        <v>Civilization JumpChain.pdf</v>
      </c>
      <c r="B1645" s="12" t="str">
        <f t="shared" si="191"/>
        <v>DriveAnon's 4chan Drive/2. EVERYONE ELSE'S JUMPS/2. Complete but need image work/A-E Jumps</v>
      </c>
    </row>
    <row r="1646">
      <c r="A1646" s="12" t="str">
        <f>HYPERLINK("https://drive.google.com/file/d/1azdccb56OQ3ItGTZIpLqUt0vSzyqoivu/view?usp=drivesdk","BOMBERMAN 64 Jumpchain.pdf")</f>
        <v>BOMBERMAN 64 Jumpchain.pdf</v>
      </c>
      <c r="B1646" s="12" t="str">
        <f t="shared" si="191"/>
        <v>DriveAnon's 4chan Drive/2. EVERYONE ELSE'S JUMPS/2. Complete but need image work/A-E Jumps</v>
      </c>
    </row>
    <row r="1647">
      <c r="A1647" s="12" t="str">
        <f>HYPERLINK("https://drive.google.com/file/d/1cSUBZ1QeRx_deo-OOLjovib56xhekafb/view?usp=drivesdk","Elfen Lied JumpChain.pdf")</f>
        <v>Elfen Lied JumpChain.pdf</v>
      </c>
      <c r="B1647" s="12" t="str">
        <f t="shared" si="191"/>
        <v>DriveAnon's 4chan Drive/2. EVERYONE ELSE'S JUMPS/2. Complete but need image work/A-E Jumps</v>
      </c>
    </row>
    <row r="1648">
      <c r="A1648" s="12" t="str">
        <f>HYPERLINK("https://drive.google.com/file/d/1fYkOK1pcB5nynXGtIKnQIDQlGCiNNOWY/view?usp=drivesdk","Barkley’s Shut _ Jam Gaiden JumpChain.pdf")</f>
        <v>Barkley’s Shut _ Jam Gaiden JumpChain.pdf</v>
      </c>
      <c r="B1648" s="12" t="str">
        <f t="shared" si="191"/>
        <v>DriveAnon's 4chan Drive/2. EVERYONE ELSE'S JUMPS/2. Complete but need image work/A-E Jumps</v>
      </c>
    </row>
    <row r="1649">
      <c r="A1649" s="12" t="str">
        <f>HYPERLINK("https://drive.google.com/file/d/1gEftjbDzxoC8VEslzaJsWOZCfcU0Kdz5/view?usp=drivesdk","Codex Alera JumpChain.pdf")</f>
        <v>Codex Alera JumpChain.pdf</v>
      </c>
      <c r="B1649" s="12" t="str">
        <f t="shared" si="191"/>
        <v>DriveAnon's 4chan Drive/2. EVERYONE ELSE'S JUMPS/2. Complete but need image work/A-E Jumps</v>
      </c>
    </row>
    <row r="1650">
      <c r="A1650" s="12" t="str">
        <f>HYPERLINK("https://drive.google.com/file/d/1gkiuRqlxSLiJdr3xFo5Si5jDe_aabOaQ/view?usp=drivesdk","Demons of Astland JumpChain.pdf")</f>
        <v>Demons of Astland JumpChain.pdf</v>
      </c>
      <c r="B1650" s="12" t="str">
        <f t="shared" si="191"/>
        <v>DriveAnon's 4chan Drive/2. EVERYONE ELSE'S JUMPS/2. Complete but need image work/A-E Jumps</v>
      </c>
    </row>
    <row r="1651">
      <c r="A1651" s="12" t="str">
        <f>HYPERLINK("https://drive.google.com/file/d/1hGUXAPobCYvnC-BfHjVMcUey5kIeLwCC/view?usp=drivesdk","Big O JumpChain.pdf")</f>
        <v>Big O JumpChain.pdf</v>
      </c>
      <c r="B1651" s="12" t="str">
        <f t="shared" si="191"/>
        <v>DriveAnon's 4chan Drive/2. EVERYONE ELSE'S JUMPS/2. Complete but need image work/A-E Jumps</v>
      </c>
    </row>
    <row r="1652">
      <c r="A1652" s="12" t="str">
        <f>HYPERLINK("https://drive.google.com/file/d/1hHbFzwbG6m3ZmjCMUHFvuYPEaCb2TQYq/view?usp=drivesdk","Cowboy Bebop Jumpchain.pdf")</f>
        <v>Cowboy Bebop Jumpchain.pdf</v>
      </c>
      <c r="B1652" s="12" t="str">
        <f t="shared" si="191"/>
        <v>DriveAnon's 4chan Drive/2. EVERYONE ELSE'S JUMPS/2. Complete but need image work/A-E Jumps</v>
      </c>
    </row>
    <row r="1653">
      <c r="A1653" s="12" t="str">
        <f>HYPERLINK("https://drive.google.com/file/d/1ide7G2DSzqj5rejBHwj1z-E5zHLbN44p/view?usp=drivesdk","Alpha protocol JumpChain.pdf")</f>
        <v>Alpha protocol JumpChain.pdf</v>
      </c>
      <c r="B1653" s="12" t="str">
        <f t="shared" si="191"/>
        <v>DriveAnon's 4chan Drive/2. EVERYONE ELSE'S JUMPS/2. Complete but need image work/A-E Jumps</v>
      </c>
    </row>
    <row r="1654">
      <c r="A1654" s="12" t="str">
        <f>HYPERLINK("https://drive.google.com/file/d/1j1_sPPPSqATe5oY4tIr3lQeYXm5I0Agl/view?usp=drivesdk","007 Jumpchain.pdf")</f>
        <v>007 Jumpchain.pdf</v>
      </c>
      <c r="B1654" s="12" t="str">
        <f t="shared" si="191"/>
        <v>DriveAnon's 4chan Drive/2. EVERYONE ELSE'S JUMPS/2. Complete but need image work/A-E Jumps</v>
      </c>
    </row>
    <row r="1655">
      <c r="A1655" s="12" t="str">
        <f>HYPERLINK("https://drive.google.com/file/d/1jAX4Hbg_pu9EKnoDhKE5o6uomvy__Pgg/view?usp=drivesdk","Alpha Centauri Jumpchain.pdf")</f>
        <v>Alpha Centauri Jumpchain.pdf</v>
      </c>
      <c r="B1655" s="12" t="str">
        <f t="shared" si="191"/>
        <v>DriveAnon's 4chan Drive/2. EVERYONE ELSE'S JUMPS/2. Complete but need image work/A-E Jumps</v>
      </c>
    </row>
    <row r="1656">
      <c r="A1656" s="12" t="str">
        <f>HYPERLINK("https://drive.google.com/file/d/1j_Y4ra3IeXToodv-n67dkF6zG1h_rOpk/view?usp=drivesdk","1984 JumpChain.pdf")</f>
        <v>1984 JumpChain.pdf</v>
      </c>
      <c r="B1656" s="12" t="str">
        <f t="shared" si="191"/>
        <v>DriveAnon's 4chan Drive/2. EVERYONE ELSE'S JUMPS/2. Complete but need image work/A-E Jumps</v>
      </c>
    </row>
    <row r="1657">
      <c r="A1657" s="12" t="str">
        <f>HYPERLINK("https://drive.google.com/file/d/1kiud0ST6Bh_gnCGLpnCBtdsb6gexnq6B/view?usp=drivesdk","Elona JumpChain.pdf")</f>
        <v>Elona JumpChain.pdf</v>
      </c>
      <c r="B1657" s="12" t="str">
        <f t="shared" si="191"/>
        <v>DriveAnon's 4chan Drive/2. EVERYONE ELSE'S JUMPS/2. Complete but need image work/A-E Jumps</v>
      </c>
    </row>
    <row r="1658">
      <c r="A1658" s="12" t="str">
        <f>HYPERLINK("https://drive.google.com/file/d/1lZKZR5NFQAGPc9cEY7I9inxatrjj6sRe/view?usp=drivesdk","Asura Cryin JumpChain.pdf")</f>
        <v>Asura Cryin JumpChain.pdf</v>
      </c>
      <c r="B1658" s="12" t="str">
        <f t="shared" si="191"/>
        <v>DriveAnon's 4chan Drive/2. EVERYONE ELSE'S JUMPS/2. Complete but need image work/A-E Jumps</v>
      </c>
    </row>
    <row r="1659">
      <c r="A1659" s="12" t="str">
        <f>HYPERLINK("https://drive.google.com/file/d/1nTCgNjuqoNv4_Y2a0iUMdl8z7ujnF8YW/view?usp=drivesdk","Code Lyoko JumpChain.pdf")</f>
        <v>Code Lyoko JumpChain.pdf</v>
      </c>
      <c r="B1659" s="12" t="str">
        <f t="shared" si="191"/>
        <v>DriveAnon's 4chan Drive/2. EVERYONE ELSE'S JUMPS/2. Complete but need image work/A-E Jumps</v>
      </c>
    </row>
    <row r="1660">
      <c r="A1660" s="12" t="str">
        <f>HYPERLINK("https://drive.google.com/file/d/1s0VY3f6A5mMZRsXxyZqonrVgKBa7PXIp/view?usp=drivesdk","Betrayal at House on the Hill JumpChain.pdf")</f>
        <v>Betrayal at House on the Hill JumpChain.pdf</v>
      </c>
      <c r="B1660" s="12" t="str">
        <f t="shared" si="191"/>
        <v>DriveAnon's 4chan Drive/2. EVERYONE ELSE'S JUMPS/2. Complete but need image work/A-E Jumps</v>
      </c>
    </row>
    <row r="1661">
      <c r="A1661" s="12" t="str">
        <f>HYPERLINK("https://drive.google.com/file/d/1v4s6_nTAM9lXxvxfrm2LG4xYjCGJlh15/view?usp=drivesdk","Cabin in the Woods Jumpchain.pdf")</f>
        <v>Cabin in the Woods Jumpchain.pdf</v>
      </c>
      <c r="B1661" s="12" t="str">
        <f t="shared" si="191"/>
        <v>DriveAnon's 4chan Drive/2. EVERYONE ELSE'S JUMPS/2. Complete but need image work/A-E Jumps</v>
      </c>
    </row>
    <row r="1662">
      <c r="A1662" s="12" t="str">
        <f>HYPERLINK("https://drive.google.com/file/d/1xDVDeyQRHfc0s52q4GuSmFGVZ5IP2FE6/view?usp=drivesdk","Cho Aniki Jumpchain.pdf")</f>
        <v>Cho Aniki Jumpchain.pdf</v>
      </c>
      <c r="B1662" s="12" t="str">
        <f t="shared" si="191"/>
        <v>DriveAnon's 4chan Drive/2. EVERYONE ELSE'S JUMPS/2. Complete but need image work/A-E Jumps</v>
      </c>
    </row>
    <row r="1663">
      <c r="A1663" s="12" t="str">
        <f>HYPERLINK("https://drive.google.com/file/d/1yS5sAUEmamhqtizqIB5sVFwXg3yu36UP/view?usp=drivesdk","Avernum JumpChain.pdf")</f>
        <v>Avernum JumpChain.pdf</v>
      </c>
      <c r="B1663" s="12" t="str">
        <f t="shared" si="191"/>
        <v>DriveAnon's 4chan Drive/2. EVERYONE ELSE'S JUMPS/2. Complete but need image work/A-E Jumps</v>
      </c>
    </row>
    <row r="1664">
      <c r="A1664" s="12" t="str">
        <f>HYPERLINK("https://drive.google.com/file/d/1zw3_5qk-wCEXhyc9yDDO1l6VVZFt8zLf/view?usp=drivesdk","Dr. McNinja JumpChain.pdf")</f>
        <v>Dr. McNinja JumpChain.pdf</v>
      </c>
      <c r="B1664" s="12" t="str">
        <f t="shared" si="191"/>
        <v>DriveAnon's 4chan Drive/2. EVERYONE ELSE'S JUMPS/2. Complete but need image work/A-E Jumps</v>
      </c>
    </row>
    <row r="1665">
      <c r="A1665" s="12" t="str">
        <f>HYPERLINK("https://drive.google.com/file/d/107I7iDW5Myb9ygXQGGtsXb07HG6ioS_S/view?usp=drivesdk","Crossout JumpChain.pdf")</f>
        <v>Crossout JumpChain.pdf</v>
      </c>
      <c r="B1665" s="12" t="str">
        <f t="shared" si="191"/>
        <v>DriveAnon's 4chan Drive/2. EVERYONE ELSE'S JUMPS/2. Complete but need image work/A-E Jumps</v>
      </c>
    </row>
    <row r="1666">
      <c r="A1666" s="12" t="str">
        <f>HYPERLINK("https://drive.google.com/file/d/10MKo4v2NT3ftr7s3cSntFdpDNpdbVWic/view?usp=drivesdk","D-Fragments JumpChain.pdf")</f>
        <v>D-Fragments JumpChain.pdf</v>
      </c>
      <c r="B1666" s="12" t="str">
        <f t="shared" si="191"/>
        <v>DriveAnon's 4chan Drive/2. EVERYONE ELSE'S JUMPS/2. Complete but need image work/A-E Jumps</v>
      </c>
    </row>
    <row r="1667">
      <c r="A1667" s="12" t="str">
        <f>HYPERLINK("https://drive.google.com/file/d/13giPa85jW2tUga4fXpeP6KJ4Tum6RPq0/view?usp=drivesdk","Buso Renkin JumpChain.pdf")</f>
        <v>Buso Renkin JumpChain.pdf</v>
      </c>
      <c r="B1667" s="12" t="str">
        <f t="shared" si="191"/>
        <v>DriveAnon's 4chan Drive/2. EVERYONE ELSE'S JUMPS/2. Complete but need image work/A-E Jumps</v>
      </c>
    </row>
    <row r="1668">
      <c r="A1668" s="12" t="str">
        <f>HYPERLINK("https://drive.google.com/file/d/14tgxBMSnEtQWDtl3Z8sTv1UfEszpNNLQ/view?usp=drivesdk","Dies Irae JumpChain.pdf")</f>
        <v>Dies Irae JumpChain.pdf</v>
      </c>
      <c r="B1668" s="12" t="str">
        <f t="shared" si="191"/>
        <v>DriveAnon's 4chan Drive/2. EVERYONE ELSE'S JUMPS/2. Complete but need image work/A-E Jumps</v>
      </c>
    </row>
    <row r="1669">
      <c r="A1669" s="12" t="str">
        <f>HYPERLINK("https://drive.google.com/file/d/15ZH0_o14A6dTqwlkuNSnOfBHNB35DFhw/view?usp=drivesdk","Dual! Parallel Trouble Adventures JumpChain..pdf")</f>
        <v>Dual! Parallel Trouble Adventures JumpChain..pdf</v>
      </c>
      <c r="B1669" s="12" t="str">
        <f t="shared" si="191"/>
        <v>DriveAnon's 4chan Drive/2. EVERYONE ELSE'S JUMPS/2. Complete but need image work/A-E Jumps</v>
      </c>
    </row>
    <row r="1670">
      <c r="A1670" s="12" t="str">
        <f>HYPERLINK("https://drive.google.com/file/d/191GyxhblU3RXqfaE9TjY4jP3kV1PDibm/view?usp=drivesdk","CATastrophe JumpChain.pdf")</f>
        <v>CATastrophe JumpChain.pdf</v>
      </c>
      <c r="B1670" s="12" t="str">
        <f t="shared" si="191"/>
        <v>DriveAnon's 4chan Drive/2. EVERYONE ELSE'S JUMPS/2. Complete but need image work/A-E Jumps</v>
      </c>
    </row>
    <row r="1671">
      <c r="A1671" s="12" t="str">
        <f>HYPERLINK("https://drive.google.com/file/d/1A7n3bqSAGyGyNjBKloLW1uTjeJE9XMj-/view?usp=drivesdk","Carmen Sandiego JumpChain.pdf")</f>
        <v>Carmen Sandiego JumpChain.pdf</v>
      </c>
      <c r="B1671" s="12" t="str">
        <f t="shared" si="191"/>
        <v>DriveAnon's 4chan Drive/2. EVERYONE ELSE'S JUMPS/2. Complete but need image work/A-E Jumps</v>
      </c>
    </row>
    <row r="1672">
      <c r="A1672" s="12" t="str">
        <f>HYPERLINK("https://drive.google.com/file/d/1Av-lNIuqZN2pGirc82AzZ_NKABi9fQdI/view?usp=drivesdk","Dragon-Half JumpChain.pdf")</f>
        <v>Dragon-Half JumpChain.pdf</v>
      </c>
      <c r="B1672" s="12" t="str">
        <f t="shared" si="191"/>
        <v>DriveAnon's 4chan Drive/2. EVERYONE ELSE'S JUMPS/2. Complete but need image work/A-E Jumps</v>
      </c>
    </row>
    <row r="1673">
      <c r="A1673" s="12" t="str">
        <f>HYPERLINK("https://drive.google.com/file/d/1DxSraQX0zzS8VH5VIHYeh6qU6CNUNNIr/view?usp=drivesdk","Abnormal-Kei Joshi JumpChain.pdf")</f>
        <v>Abnormal-Kei Joshi JumpChain.pdf</v>
      </c>
      <c r="B1673" s="12" t="str">
        <f t="shared" si="191"/>
        <v>DriveAnon's 4chan Drive/2. EVERYONE ELSE'S JUMPS/2. Complete but need image work/A-E Jumps</v>
      </c>
    </row>
    <row r="1674">
      <c r="A1674" s="12" t="str">
        <f>HYPERLINK("https://drive.google.com/file/d/1Hzci-fAhYmUkcb0d2YB-ELV_D4ezUghs/view?usp=drivesdk","Deltora Quest JumpChain.pdf")</f>
        <v>Deltora Quest JumpChain.pdf</v>
      </c>
      <c r="B1674" s="12" t="str">
        <f t="shared" si="191"/>
        <v>DriveAnon's 4chan Drive/2. EVERYONE ELSE'S JUMPS/2. Complete but need image work/A-E Jumps</v>
      </c>
    </row>
    <row r="1675">
      <c r="A1675" s="12" t="str">
        <f>HYPERLINK("https://drive.google.com/file/d/1JclfXK6GzjUehFg4y1H0ErMrmqltM1Hv/view?usp=drivesdk","Equilibrium JumpChain.pdf")</f>
        <v>Equilibrium JumpChain.pdf</v>
      </c>
      <c r="B1675" s="12" t="str">
        <f t="shared" si="191"/>
        <v>DriveAnon's 4chan Drive/2. EVERYONE ELSE'S JUMPS/2. Complete but need image work/A-E Jumps</v>
      </c>
    </row>
    <row r="1676">
      <c r="A1676" s="12" t="str">
        <f>HYPERLINK("https://drive.google.com/file/d/1K32IifCM1K6mLIqpy5JvfOJQ_n4_n3s9/view?usp=drivesdk","Career Model JumpChain.pdf")</f>
        <v>Career Model JumpChain.pdf</v>
      </c>
      <c r="B1676" s="12" t="str">
        <f t="shared" si="191"/>
        <v>DriveAnon's 4chan Drive/2. EVERYONE ELSE'S JUMPS/2. Complete but need image work/A-E Jumps</v>
      </c>
    </row>
    <row r="1677">
      <c r="A1677" s="12" t="str">
        <f>HYPERLINK("https://drive.google.com/file/d/1KgBej6S9wDUiM7Xo60Zfc1dcG3Txdn2C/view?usp=drivesdk","Animorphs JumpChain.pdf")</f>
        <v>Animorphs JumpChain.pdf</v>
      </c>
      <c r="B1677" s="12" t="str">
        <f t="shared" si="191"/>
        <v>DriveAnon's 4chan Drive/2. EVERYONE ELSE'S JUMPS/2. Complete but need image work/A-E Jumps</v>
      </c>
    </row>
    <row r="1678">
      <c r="A1678" s="12" t="str">
        <f>HYPERLINK("https://drive.google.com/file/d/1L7hltRlggr1Xc4Yg31OTyqH0ZCEWKbaz/view?usp=drivesdk","Duke Nukem JumpChain.pdf")</f>
        <v>Duke Nukem JumpChain.pdf</v>
      </c>
      <c r="B1678" s="12" t="str">
        <f t="shared" si="191"/>
        <v>DriveAnon's 4chan Drive/2. EVERYONE ELSE'S JUMPS/2. Complete but need image work/A-E Jumps</v>
      </c>
    </row>
    <row r="1679">
      <c r="A1679" s="12" t="str">
        <f>HYPERLINK("https://drive.google.com/file/d/1LRdqVvfyGaQOdmgngnigk9xLqsrBHyFL/view?usp=drivesdk","8bit Theatre JumpChain.pdf")</f>
        <v>8bit Theatre JumpChain.pdf</v>
      </c>
      <c r="B1679" s="12" t="str">
        <f t="shared" si="191"/>
        <v>DriveAnon's 4chan Drive/2. EVERYONE ELSE'S JUMPS/2. Complete but need image work/A-E Jumps</v>
      </c>
    </row>
    <row r="1680">
      <c r="A1680" s="12" t="str">
        <f>HYPERLINK("https://drive.google.com/file/d/1O7xP4i9gRq23el9DA2J20RrIQEinZcE7/view?usp=drivesdk","El Goonish Shive JumpChain.pdf")</f>
        <v>El Goonish Shive JumpChain.pdf</v>
      </c>
      <c r="B1680" s="12" t="str">
        <f t="shared" si="191"/>
        <v>DriveAnon's 4chan Drive/2. EVERYONE ELSE'S JUMPS/2. Complete but need image work/A-E Jumps</v>
      </c>
    </row>
    <row r="1681">
      <c r="A1681" s="12" t="str">
        <f>HYPERLINK("https://drive.google.com/file/d/1P5kc26KBHCB7b9HDYFpswzJXqqD6ZZp4/view?usp=drivesdk","Big eyes, Small mouth JumpChain.pdf")</f>
        <v>Big eyes, Small mouth JumpChain.pdf</v>
      </c>
      <c r="B1681" s="12" t="str">
        <f t="shared" si="191"/>
        <v>DriveAnon's 4chan Drive/2. EVERYONE ELSE'S JUMPS/2. Complete but need image work/A-E Jumps</v>
      </c>
    </row>
    <row r="1682">
      <c r="A1682" s="12" t="str">
        <f>HYPERLINK("https://drive.google.com/file/d/1UzgVGMu0WzquSwU8Eynlt_fXHKEiq5QA/view?usp=drivesdk","Divine Dungeon JumpChain.pdf")</f>
        <v>Divine Dungeon JumpChain.pdf</v>
      </c>
      <c r="B1682" s="12" t="str">
        <f t="shared" si="191"/>
        <v>DriveAnon's 4chan Drive/2. EVERYONE ELSE'S JUMPS/2. Complete but need image work/A-E Jumps</v>
      </c>
    </row>
    <row r="1683">
      <c r="A1683" s="12" t="str">
        <f>HYPERLINK("https://drive.google.com/file/d/1WcU9fMnMNf4NmSA-c2hhMsiXDAf-YOog/view?usp=drivesdk","Eiken jumpChain.pdf")</f>
        <v>Eiken jumpChain.pdf</v>
      </c>
      <c r="B1683" s="12" t="str">
        <f t="shared" si="191"/>
        <v>DriveAnon's 4chan Drive/2. EVERYONE ELSE'S JUMPS/2. Complete but need image work/A-E Jumps</v>
      </c>
    </row>
    <row r="1684">
      <c r="A1684" s="12" t="str">
        <f>HYPERLINK("https://drive.google.com/file/d/1X3CepsSLwsIMk28Lbce9bsWnZOgRNdt6/view?usp=drivesdk","Dragonfable JumpChain (Scenarios Incomplete).pdf")</f>
        <v>Dragonfable JumpChain (Scenarios Incomplete).pdf</v>
      </c>
      <c r="B1684" s="12" t="str">
        <f t="shared" si="191"/>
        <v>DriveAnon's 4chan Drive/2. EVERYONE ELSE'S JUMPS/2. Complete but need image work/A-E Jumps</v>
      </c>
    </row>
    <row r="1685">
      <c r="A1685" s="12" t="str">
        <f>HYPERLINK("https://drive.google.com/file/d/1XosxhsFkkpZY3hlQSIcuqrSe752Qz8B1/view?usp=drivesdk","Catan JumpChain.pdf")</f>
        <v>Catan JumpChain.pdf</v>
      </c>
      <c r="B1685" s="12" t="str">
        <f t="shared" si="191"/>
        <v>DriveAnon's 4chan Drive/2. EVERYONE ELSE'S JUMPS/2. Complete but need image work/A-E Jumps</v>
      </c>
    </row>
    <row r="1686">
      <c r="A1686" s="12" t="str">
        <f>HYPERLINK("https://drive.google.com/file/d/1bZmc4xwE1JyvitTC7lJcvAycHJREThJy/view?usp=drivesdk","Beelzebub JumpChain.pdf")</f>
        <v>Beelzebub JumpChain.pdf</v>
      </c>
      <c r="B1686" s="12" t="str">
        <f t="shared" si="191"/>
        <v>DriveAnon's 4chan Drive/2. EVERYONE ELSE'S JUMPS/2. Complete but need image work/A-E Jumps</v>
      </c>
    </row>
    <row r="1687">
      <c r="A1687" s="12" t="str">
        <f>HYPERLINK("https://drive.google.com/file/d/1eXsKVMe-Hoa0aqRRinBCcjGokYHGNG7i/view?usp=drivesdk","Dragon_s Dogma - Dark Arisen JumpChain.pdf")</f>
        <v>Dragon_s Dogma - Dark Arisen JumpChain.pdf</v>
      </c>
      <c r="B1687" s="12" t="str">
        <f t="shared" si="191"/>
        <v>DriveAnon's 4chan Drive/2. EVERYONE ELSE'S JUMPS/2. Complete but need image work/A-E Jumps</v>
      </c>
    </row>
    <row r="1688">
      <c r="A1688" s="12" t="str">
        <f>HYPERLINK("https://drive.google.com/file/d/1fQc0C01GtTqlPsSctsXz-qkffwZUUxa3/view?usp=drivesdk","Brutal Legend Jump.pdf")</f>
        <v>Brutal Legend Jump.pdf</v>
      </c>
      <c r="B1688" s="12" t="str">
        <f t="shared" si="191"/>
        <v>DriveAnon's 4chan Drive/2. EVERYONE ELSE'S JUMPS/2. Complete but need image work/A-E Jumps</v>
      </c>
    </row>
    <row r="1689">
      <c r="A1689" s="12" t="str">
        <f>HYPERLINK("https://drive.google.com/file/d/1i0eh82aF7RzjDtEYNgQVADCWHY9AjySn/view?usp=drivesdk","Clive Barker_s Jericho JumpChain.pdf")</f>
        <v>Clive Barker_s Jericho JumpChain.pdf</v>
      </c>
      <c r="B1689" s="12" t="str">
        <f t="shared" si="191"/>
        <v>DriveAnon's 4chan Drive/2. EVERYONE ELSE'S JUMPS/2. Complete but need image work/A-E Jumps</v>
      </c>
    </row>
    <row r="1690">
      <c r="A1690" s="12" t="str">
        <f>HYPERLINK("https://drive.google.com/file/d/1jvnPsk5phG6ks4jDUcdR8rtvlFCt_Lp2/view?usp=drivesdk","Creature From the Black Lagoon Trilogy JumpChain.pdf")</f>
        <v>Creature From the Black Lagoon Trilogy JumpChain.pdf</v>
      </c>
      <c r="B1690" s="12" t="str">
        <f t="shared" si="191"/>
        <v>DriveAnon's 4chan Drive/2. EVERYONE ELSE'S JUMPS/2. Complete but need image work/A-E Jumps</v>
      </c>
    </row>
    <row r="1691">
      <c r="A1691" s="12" t="str">
        <f>HYPERLINK("https://drive.google.com/file/d/1mTqcH94-q8Ap5hq7y9KsdhkhH2DYpXyd/view?usp=drivesdk","Deadly Premonition JumpChain.pdf")</f>
        <v>Deadly Premonition JumpChain.pdf</v>
      </c>
      <c r="B1691" s="12" t="str">
        <f t="shared" si="191"/>
        <v>DriveAnon's 4chan Drive/2. EVERYONE ELSE'S JUMPS/2. Complete but need image work/A-E Jumps</v>
      </c>
    </row>
    <row r="1692">
      <c r="A1692" s="12" t="str">
        <f>HYPERLINK("https://drive.google.com/file/d/1mqGVbpSjg5VZxKCgirfyhjxT7hyiBpY2/view?usp=drivesdk","Epic Battle Flash JumpChain.pdf")</f>
        <v>Epic Battle Flash JumpChain.pdf</v>
      </c>
      <c r="B1692" s="12" t="str">
        <f t="shared" si="191"/>
        <v>DriveAnon's 4chan Drive/2. EVERYONE ELSE'S JUMPS/2. Complete but need image work/A-E Jumps</v>
      </c>
    </row>
    <row r="1693">
      <c r="A1693" s="12" t="str">
        <f>HYPERLINK("https://drive.google.com/file/d/1ogQTXr2mpbH9JUwFx1VkVWhX7uIbUZjI/view?usp=drivesdk","Enter the Gungeon JumpChain.pdf")</f>
        <v>Enter the Gungeon JumpChain.pdf</v>
      </c>
      <c r="B1693" s="12" t="str">
        <f t="shared" si="191"/>
        <v>DriveAnon's 4chan Drive/2. EVERYONE ELSE'S JUMPS/2. Complete but need image work/A-E Jumps</v>
      </c>
    </row>
    <row r="1694">
      <c r="A1694" s="12" t="str">
        <f>HYPERLINK("https://drive.google.com/file/d/1p-wWJPJ3AoiCBjPR0k4ppdrovzxgIqEs/view?usp=drivesdk","Aberrant JumpChain.pdf")</f>
        <v>Aberrant JumpChain.pdf</v>
      </c>
      <c r="B1694" s="12" t="str">
        <f t="shared" si="191"/>
        <v>DriveAnon's 4chan Drive/2. EVERYONE ELSE'S JUMPS/2. Complete but need image work/A-E Jumps</v>
      </c>
    </row>
    <row r="1695">
      <c r="A1695" s="12" t="str">
        <f>HYPERLINK("https://drive.google.com/file/d/1piTxMa8kA2BjqiiB6aSw-6G_f7WYPUcC/view?usp=drivesdk","Boktai The Sun Is In Your Hand JumpChain.pdf")</f>
        <v>Boktai The Sun Is In Your Hand JumpChain.pdf</v>
      </c>
      <c r="B1695" s="12" t="str">
        <f t="shared" si="191"/>
        <v>DriveAnon's 4chan Drive/2. EVERYONE ELSE'S JUMPS/2. Complete but need image work/A-E Jumps</v>
      </c>
    </row>
    <row r="1696">
      <c r="A1696" s="12" t="str">
        <f>HYPERLINK("https://drive.google.com/file/d/1q8sFUl5NUjWg1uAAinpelhgQ_HT1Kms9/view?usp=drivesdk","DMC JumpChain.pdf")</f>
        <v>DMC JumpChain.pdf</v>
      </c>
      <c r="B1696" s="12" t="str">
        <f t="shared" si="191"/>
        <v>DriveAnon's 4chan Drive/2. EVERYONE ELSE'S JUMPS/2. Complete but need image work/A-E Jumps</v>
      </c>
    </row>
    <row r="1697">
      <c r="A1697" s="12" t="str">
        <f>HYPERLINK("https://drive.google.com/file/d/1qhz5PuFsuXFTfQ582q3hKC-GfTbWbg-T/view?usp=drivesdk","Authority JumpChain.pdf")</f>
        <v>Authority JumpChain.pdf</v>
      </c>
      <c r="B1697" s="12" t="str">
        <f t="shared" si="191"/>
        <v>DriveAnon's 4chan Drive/2. EVERYONE ELSE'S JUMPS/2. Complete but need image work/A-E Jumps</v>
      </c>
    </row>
    <row r="1698">
      <c r="A1698" s="12" t="str">
        <f>HYPERLINK("https://drive.google.com/file/d/1ujI_zPorr9H6iK-SlftGi7xrFprSP0aK/view?usp=drivesdk","Captain N JumpChain.pdf")</f>
        <v>Captain N JumpChain.pdf</v>
      </c>
      <c r="B1698" s="12" t="str">
        <f t="shared" si="191"/>
        <v>DriveAnon's 4chan Drive/2. EVERYONE ELSE'S JUMPS/2. Complete but need image work/A-E Jumps</v>
      </c>
    </row>
    <row r="1699">
      <c r="A1699" s="12" t="str">
        <f>HYPERLINK("https://drive.google.com/file/d/1vF30Y1GqBffp5gxmvDHbJB-zyHbbttqV/view?usp=drivesdk","Crysis JumpChain.pdf")</f>
        <v>Crysis JumpChain.pdf</v>
      </c>
      <c r="B1699" s="12" t="str">
        <f t="shared" si="191"/>
        <v>DriveAnon's 4chan Drive/2. EVERYONE ELSE'S JUMPS/2. Complete but need image work/A-E Jumps</v>
      </c>
    </row>
    <row r="1700">
      <c r="A1700" s="12" t="str">
        <f>HYPERLINK("https://drive.google.com/file/d/1yQPd1_A6qVLdroJcmivfoTTnZxifKaDo/view?usp=drivesdk","Chronicle JumpChain.pdf")</f>
        <v>Chronicle JumpChain.pdf</v>
      </c>
      <c r="B1700" s="12" t="str">
        <f t="shared" si="191"/>
        <v>DriveAnon's 4chan Drive/2. EVERYONE ELSE'S JUMPS/2. Complete but need image work/A-E Jumps</v>
      </c>
    </row>
    <row r="1701">
      <c r="A1701" s="12" t="str">
        <f>HYPERLINK("https://drive.google.com/file/d/1-KMm3kDn30LPpbO7YVXZzJDaW46aEfCo/view?usp=drivesdk","Dark Lord of Derkholm JumpChain.pdf")</f>
        <v>Dark Lord of Derkholm JumpChain.pdf</v>
      </c>
      <c r="B1701" s="12" t="str">
        <f t="shared" si="191"/>
        <v>DriveAnon's 4chan Drive/2. EVERYONE ELSE'S JUMPS/2. Complete but need image work/A-E Jumps</v>
      </c>
    </row>
    <row r="1702">
      <c r="A1702" s="12" t="str">
        <f>HYPERLINK("https://drive.google.com/file/d/18OvCc-5Dn8mhn3KafZIEaypfUotc9YY-/view?usp=drivesdk","Dorohedoro JumpChain.pdf")</f>
        <v>Dorohedoro JumpChain.pdf</v>
      </c>
      <c r="B1702" s="12" t="str">
        <f t="shared" si="191"/>
        <v>DriveAnon's 4chan Drive/2. EVERYONE ELSE'S JUMPS/2. Complete but need image work/A-E Jumps</v>
      </c>
    </row>
    <row r="1703">
      <c r="A1703" s="12" t="str">
        <f>HYPERLINK("https://drive.google.com/file/d/1AVMvpQc3UyUxA2vdgiHDmlxjvwVMywmx/view?usp=drivesdk","Darling in the FranXX JumpChain.pdf")</f>
        <v>Darling in the FranXX JumpChain.pdf</v>
      </c>
      <c r="B1703" s="12" t="str">
        <f t="shared" si="191"/>
        <v>DriveAnon's 4chan Drive/2. EVERYONE ELSE'S JUMPS/2. Complete but need image work/A-E Jumps</v>
      </c>
    </row>
    <row r="1704">
      <c r="A1704" s="12" t="str">
        <f>HYPERLINK("https://drive.google.com/file/d/1CZTV9y1OQdoYhAN-mKcMyQsR24n3aemm/view?usp=drivesdk","Cold Waters JumpChain.pdf")</f>
        <v>Cold Waters JumpChain.pdf</v>
      </c>
      <c r="B1704" s="12" t="str">
        <f t="shared" si="191"/>
        <v>DriveAnon's 4chan Drive/2. EVERYONE ELSE'S JUMPS/2. Complete but need image work/A-E Jumps</v>
      </c>
    </row>
    <row r="1705">
      <c r="A1705" s="12" t="str">
        <f>HYPERLINK("https://drive.google.com/file/d/1E7KeFjWLcvtrb8EXtHj5mSZ-LK7907Dl/view?usp=drivesdk","Bloodstained Ritual of the Night Jumpchain V1.1.pdf")</f>
        <v>Bloodstained Ritual of the Night Jumpchain V1.1.pdf</v>
      </c>
      <c r="B1705" s="12" t="str">
        <f t="shared" si="191"/>
        <v>DriveAnon's 4chan Drive/2. EVERYONE ELSE'S JUMPS/2. Complete but need image work/A-E Jumps</v>
      </c>
    </row>
    <row r="1706">
      <c r="A1706" s="12" t="str">
        <f>HYPERLINK("https://drive.google.com/file/d/1GkSmGTrGG480kNqMuOmYek1JM9rtI3w_/view?usp=drivesdk","Adventure Quest Worlds JumpChain.pdf")</f>
        <v>Adventure Quest Worlds JumpChain.pdf</v>
      </c>
      <c r="B1706" s="12" t="str">
        <f t="shared" si="191"/>
        <v>DriveAnon's 4chan Drive/2. EVERYONE ELSE'S JUMPS/2. Complete but need image work/A-E Jumps</v>
      </c>
    </row>
    <row r="1707">
      <c r="A1707" s="12" t="str">
        <f>HYPERLINK("https://drive.google.com/file/d/1HrF09SG5b0pvvtLUQ2vSQQIej7s75QKb/view?usp=drivesdk","Assassination Classroom JumpChain.pdf")</f>
        <v>Assassination Classroom JumpChain.pdf</v>
      </c>
      <c r="B1707" s="12" t="str">
        <f t="shared" si="191"/>
        <v>DriveAnon's 4chan Drive/2. EVERYONE ELSE'S JUMPS/2. Complete but need image work/A-E Jumps</v>
      </c>
    </row>
    <row r="1708">
      <c r="A1708" s="12" t="str">
        <f>HYPERLINK("https://drive.google.com/file/d/1IZD60YlxeTpI-alKcNSF9Wo8ILkM_5PK/view?usp=drivesdk","Borderlands JumpChain.pdf")</f>
        <v>Borderlands JumpChain.pdf</v>
      </c>
      <c r="B1708" s="12" t="str">
        <f t="shared" si="191"/>
        <v>DriveAnon's 4chan Drive/2. EVERYONE ELSE'S JUMPS/2. Complete but need image work/A-E Jumps</v>
      </c>
    </row>
    <row r="1709">
      <c r="A1709" s="12" t="str">
        <f>HYPERLINK("https://drive.google.com/file/d/1JgQH9L29048HoHWFiKiYjr_UqvZeVAyB/view?usp=drivesdk","DEADBOLT JumpChain.pdf")</f>
        <v>DEADBOLT JumpChain.pdf</v>
      </c>
      <c r="B1709" s="12" t="str">
        <f t="shared" si="191"/>
        <v>DriveAnon's 4chan Drive/2. EVERYONE ELSE'S JUMPS/2. Complete but need image work/A-E Jumps</v>
      </c>
    </row>
    <row r="1710">
      <c r="A1710" s="12" t="str">
        <f>HYPERLINK("https://drive.google.com/file/d/1KNIY9XJyRkX2ONCZVI4ReA8xBfva9pGy/view?usp=drivesdk","Deadman Wonderland - Reborn Remake.pdf")</f>
        <v>Deadman Wonderland - Reborn Remake.pdf</v>
      </c>
      <c r="B1710" s="12" t="str">
        <f t="shared" si="191"/>
        <v>DriveAnon's 4chan Drive/2. EVERYONE ELSE'S JUMPS/2. Complete but need image work/A-E Jumps</v>
      </c>
    </row>
    <row r="1711">
      <c r="A1711" s="12" t="str">
        <f>HYPERLINK("https://drive.google.com/file/d/1QQ4tOCW1GjrTvMTRv6Z20FXmdWqu8Sdb/view?usp=drivesdk","Everyone Else is a Returnee JumpChain.pdf")</f>
        <v>Everyone Else is a Returnee JumpChain.pdf</v>
      </c>
      <c r="B1711" s="12" t="str">
        <f t="shared" si="191"/>
        <v>DriveAnon's 4chan Drive/2. EVERYONE ELSE'S JUMPS/2. Complete but need image work/A-E Jumps</v>
      </c>
    </row>
    <row r="1712">
      <c r="A1712" s="12" t="str">
        <f>HYPERLINK("https://drive.google.com/file/d/1RWSOWGHr5X99VdbkjwnzBwGHtFGH4qEv/view?usp=drivesdk","Afro Samurai JumpChain.pdf")</f>
        <v>Afro Samurai JumpChain.pdf</v>
      </c>
      <c r="B1712" s="12" t="str">
        <f t="shared" si="191"/>
        <v>DriveAnon's 4chan Drive/2. EVERYONE ELSE'S JUMPS/2. Complete but need image work/A-E Jumps</v>
      </c>
    </row>
    <row r="1713">
      <c r="A1713" s="12" t="str">
        <f>HYPERLINK("https://drive.google.com/file/d/1VYw188ocAY5VB_RLsKfCS9WeqZ_ygOuH/view?usp=drivesdk","Alderamin on the Sky JumpChain.pdf")</f>
        <v>Alderamin on the Sky JumpChain.pdf</v>
      </c>
      <c r="B1713" s="12" t="str">
        <f t="shared" si="191"/>
        <v>DriveAnon's 4chan Drive/2. EVERYONE ELSE'S JUMPS/2. Complete but need image work/A-E Jumps</v>
      </c>
    </row>
    <row r="1714">
      <c r="A1714" s="12" t="str">
        <f>HYPERLINK("https://drive.google.com/file/d/1Yz-4thRfBmjHd-wFdDLZJAhmWDsIbjGJ/view?usp=drivesdk","Aeneid JumpChain.pdf")</f>
        <v>Aeneid JumpChain.pdf</v>
      </c>
      <c r="B1714" s="12" t="str">
        <f t="shared" si="191"/>
        <v>DriveAnon's 4chan Drive/2. EVERYONE ELSE'S JUMPS/2. Complete but need image work/A-E Jumps</v>
      </c>
    </row>
    <row r="1715">
      <c r="A1715" s="12" t="str">
        <f>HYPERLINK("https://drive.google.com/file/d/1Z0U7Bkl1GhQpCAMuriiGaiSzO0N75J0a/view?usp=drivesdk","BLOOD JumpChain.pdf")</f>
        <v>BLOOD JumpChain.pdf</v>
      </c>
      <c r="B1715" s="12" t="str">
        <f t="shared" si="191"/>
        <v>DriveAnon's 4chan Drive/2. EVERYONE ELSE'S JUMPS/2. Complete but need image work/A-E Jumps</v>
      </c>
    </row>
    <row r="1716">
      <c r="A1716" s="12" t="str">
        <f>HYPERLINK("https://drive.google.com/file/d/1atsajzHBF03eiULTa_cnTdRSiCQ1dduQ/view?usp=drivesdk","Apex Legends JumpChain.pdf")</f>
        <v>Apex Legends JumpChain.pdf</v>
      </c>
      <c r="B1716" s="12" t="str">
        <f t="shared" si="191"/>
        <v>DriveAnon's 4chan Drive/2. EVERYONE ELSE'S JUMPS/2. Complete but need image work/A-E Jumps</v>
      </c>
    </row>
    <row r="1717">
      <c r="A1717" s="12" t="str">
        <f>HYPERLINK("https://drive.google.com/file/d/1lUzvnnH0tf2Ddn1rZSdKl0ln51se-oSz/view?usp=drivesdk","Child of Light JumpChain.pdf")</f>
        <v>Child of Light JumpChain.pdf</v>
      </c>
      <c r="B1717" s="12" t="str">
        <f t="shared" si="191"/>
        <v>DriveAnon's 4chan Drive/2. EVERYONE ELSE'S JUMPS/2. Complete but need image work/A-E Jumps</v>
      </c>
    </row>
    <row r="1718">
      <c r="A1718" s="12" t="str">
        <f>HYPERLINK("https://drive.google.com/file/d/1o_hfMIDgE4_eBD9sKUlHojDwoQayVduz/view?usp=drivesdk","Code_ Breaker JumpChain.pdf")</f>
        <v>Code_ Breaker JumpChain.pdf</v>
      </c>
      <c r="B1718" s="12" t="str">
        <f t="shared" si="191"/>
        <v>DriveAnon's 4chan Drive/2. EVERYONE ELSE'S JUMPS/2. Complete but need image work/A-E Jumps</v>
      </c>
    </row>
    <row r="1719">
      <c r="A1719" s="12" t="str">
        <f>HYPERLINK("https://drive.google.com/file/d/1rgSZi0pfvjcDJ2qKKgCVFMxOzCgbpt96/view?usp=drivesdk","EVE Online JumpChain.pdf")</f>
        <v>EVE Online JumpChain.pdf</v>
      </c>
      <c r="B1719" s="12" t="str">
        <f t="shared" si="191"/>
        <v>DriveAnon's 4chan Drive/2. EVERYONE ELSE'S JUMPS/2. Complete but need image work/A-E Jumps</v>
      </c>
    </row>
    <row r="1720">
      <c r="A1720" s="12" t="str">
        <f>HYPERLINK("https://drive.google.com/file/d/17vidduH2NOJZgFfODx158QK1j8XZsExs/view?usp=drivesdk","DearS  JumpChain.pdf")</f>
        <v>DearS  JumpChain.pdf</v>
      </c>
      <c r="B1720" s="12" t="str">
        <f t="shared" si="191"/>
        <v>DriveAnon's 4chan Drive/2. EVERYONE ELSE'S JUMPS/2. Complete but need image work/A-E Jumps</v>
      </c>
    </row>
    <row r="1721">
      <c r="A1721" s="12" t="str">
        <f>HYPERLINK("https://drive.google.com/file/d/1tYzSEuccXG1G1g5hsWMXAwT3SgI6aomS/view?usp=drivesdk","9 JumpChain.pdf")</f>
        <v>9 JumpChain.pdf</v>
      </c>
      <c r="B1721" s="12" t="str">
        <f t="shared" si="191"/>
        <v>DriveAnon's 4chan Drive/2. EVERYONE ELSE'S JUMPS/2. Complete but need image work/A-E Jumps</v>
      </c>
    </row>
    <row r="1722">
      <c r="A1722" s="12" t="str">
        <f>HYPERLINK("https://drive.google.com/file/d/1xRnqdLBihitlNiMUrwheiFb2aGBWY01A/view?usp=drivesdk","Amalgam of Distortion JumpChain.pdf")</f>
        <v>Amalgam of Distortion JumpChain.pdf</v>
      </c>
      <c r="B1722" s="12" t="str">
        <f t="shared" si="191"/>
        <v>DriveAnon's 4chan Drive/2. EVERYONE ELSE'S JUMPS/2. Complete but need image work/A-E Jumps</v>
      </c>
    </row>
    <row r="1723">
      <c r="A1723" s="12" t="str">
        <f>HYPERLINK("https://drive.google.com/file/d/1yZUZW8iTc17WXoRrh6O08BnXfM8Rs-I0/view?usp=drivesdk","Ace Combat JumpChain.pdf")</f>
        <v>Ace Combat JumpChain.pdf</v>
      </c>
      <c r="B1723" s="12" t="str">
        <f t="shared" si="191"/>
        <v>DriveAnon's 4chan Drive/2. EVERYONE ELSE'S JUMPS/2. Complete but need image work/A-E Jumps</v>
      </c>
    </row>
    <row r="1724">
      <c r="A1724" s="12" t="str">
        <f>HYPERLINK("https://drive.google.com/file/d/1RP36Vsxyj-I6rFje49_jOQYrA2Ez-ub3/view?usp=drivesdk","Devil May Cry JumpChain.pdf")</f>
        <v>Devil May Cry JumpChain.pdf</v>
      </c>
      <c r="B1724" s="12" t="str">
        <f t="shared" si="191"/>
        <v>DriveAnon's 4chan Drive/2. EVERYONE ELSE'S JUMPS/2. Complete but need image work/A-E Jumps</v>
      </c>
    </row>
    <row r="1725">
      <c r="A1725" s="12" t="str">
        <f>HYPERLINK("https://drive.google.com/file/d/1Upjvr3T_E2mh22S431HTFkZ4Kl7ze3v2/view?usp=drivesdk","Escape From Tarkov Jumpchain.pdf")</f>
        <v>Escape From Tarkov Jumpchain.pdf</v>
      </c>
      <c r="B1725" s="12" t="str">
        <f t="shared" si="191"/>
        <v>DriveAnon's 4chan Drive/2. EVERYONE ELSE'S JUMPS/2. Complete but need image work/A-E Jumps</v>
      </c>
    </row>
    <row r="1726">
      <c r="A1726" s="12" t="str">
        <f>HYPERLINK("https://drive.google.com/file/d/1_nZYeKXSqtlQWVOAs3MBKZf9w7x0_mjt/view?usp=drivesdk","Don_t Rest Your Head.pdf")</f>
        <v>Don_t Rest Your Head.pdf</v>
      </c>
      <c r="B1726" s="12" t="str">
        <f t="shared" si="191"/>
        <v>DriveAnon's 4chan Drive/2. EVERYONE ELSE'S JUMPS/2. Complete but need image work/A-E Jumps</v>
      </c>
    </row>
    <row r="1727">
      <c r="A1727" s="12" t="str">
        <f>HYPERLINK("https://drive.google.com/file/d/1nUeJn6YyWp1NxtgtDKW6kdK1ntL4_6wb/view?usp=drivesdk","Dave the barbarian Jump 1.11.pdf")</f>
        <v>Dave the barbarian Jump 1.11.pdf</v>
      </c>
      <c r="B1727" s="12" t="str">
        <f t="shared" si="191"/>
        <v>DriveAnon's 4chan Drive/2. EVERYONE ELSE'S JUMPS/2. Complete but need image work/A-E Jumps</v>
      </c>
    </row>
    <row r="1728">
      <c r="A1728" s="12" t="str">
        <f>HYPERLINK("https://drive.google.com/file/d/1JYoSkdJx2zQ4o2yKeHB0f6pAyct_ngvp/view?usp=drivesdk","Arifureta Shokugyou de Sekai Saikyou.pdf")</f>
        <v>Arifureta Shokugyou de Sekai Saikyou.pdf</v>
      </c>
      <c r="B1728" s="12" t="str">
        <f t="shared" si="191"/>
        <v>DriveAnon's 4chan Drive/2. EVERYONE ELSE'S JUMPS/2. Complete but need image work/A-E Jumps</v>
      </c>
    </row>
    <row r="1729">
      <c r="A1729" s="12" t="str">
        <f>HYPERLINK("https://drive.google.com/file/d/1e1v-8meBw8po7wz8q7BEOg0XIfcBY_PC/view?usp=drivesdk","Eight Legged Freaks.pdf")</f>
        <v>Eight Legged Freaks.pdf</v>
      </c>
      <c r="B1729" s="12" t="str">
        <f t="shared" si="191"/>
        <v>DriveAnon's 4chan Drive/2. EVERYONE ELSE'S JUMPS/2. Complete but need image work/A-E Jumps</v>
      </c>
    </row>
    <row r="1730">
      <c r="A1730" s="12" t="str">
        <f>HYPERLINK("https://drive.google.com/file/d/1zuvGhXTqVp5ES3VhAWsQf1L9JAIFInt8/view?usp=drivesdk","Durarara!!.pdf")</f>
        <v>Durarara!!.pdf</v>
      </c>
      <c r="B1730" s="12" t="str">
        <f t="shared" si="191"/>
        <v>DriveAnon's 4chan Drive/2. EVERYONE ELSE'S JUMPS/2. Complete but need image work/A-E Jumps</v>
      </c>
    </row>
    <row r="1731">
      <c r="A1731" s="12" t="str">
        <f>HYPERLINK("https://drive.google.com/file/d/1QmibnrbgUzeubs6WMU-lX70Ud1IU8QRZ/view?usp=drivesdk","Detective Heart Of America.pdf")</f>
        <v>Detective Heart Of America.pdf</v>
      </c>
      <c r="B1731" s="12" t="str">
        <f t="shared" ref="B1731:B1941" si="192">HYPERLINK("https://drive.google.com/drive/folders/1YXop_0MTXyzu9bSWwIMa38fnYgco6qAV","DriveAnon's 4chan Drive/2. EVERYONE ELSE'S JUMPS/1. Complete with images")</f>
        <v>DriveAnon's 4chan Drive/2. EVERYONE ELSE'S JUMPS/1. Complete with images</v>
      </c>
    </row>
    <row r="1732">
      <c r="A1732" s="12" t="str">
        <f>HYPERLINK("https://drive.google.com/file/d/12JIgzuccIqHtCOWReny0ZKsO_3wtH5aq/view?usp=drivesdk","Eminence In Shadow.pdf")</f>
        <v>Eminence In Shadow.pdf</v>
      </c>
      <c r="B1732" s="12" t="str">
        <f t="shared" si="192"/>
        <v>DriveAnon's 4chan Drive/2. EVERYONE ELSE'S JUMPS/1. Complete with images</v>
      </c>
    </row>
    <row r="1733">
      <c r="A1733" s="12" t="str">
        <f>HYPERLINK("https://drive.google.com/file/d/1ns1D41Z1vKPKmts4Dl3vghmfj6VhuKEO/view?usp=drivesdk","Inscryption.pdf")</f>
        <v>Inscryption.pdf</v>
      </c>
      <c r="B1733" s="12" t="str">
        <f t="shared" si="192"/>
        <v>DriveAnon's 4chan Drive/2. EVERYONE ELSE'S JUMPS/1. Complete with images</v>
      </c>
    </row>
    <row r="1734">
      <c r="A1734" s="12" t="str">
        <f>HYPERLINK("https://drive.google.com/file/d/1gr5YKSHvtO6o4753KSx_10Sw-HTnlGo_/view?usp=drivesdk","Elf San Wa Yaserarenai.pdf")</f>
        <v>Elf San Wa Yaserarenai.pdf</v>
      </c>
      <c r="B1734" s="12" t="str">
        <f t="shared" si="192"/>
        <v>DriveAnon's 4chan Drive/2. EVERYONE ELSE'S JUMPS/1. Complete with images</v>
      </c>
    </row>
    <row r="1735">
      <c r="A1735" s="12" t="str">
        <f>HYPERLINK("https://drive.google.com/file/d/1CqaXYsLr_WuMFMa2TY7Lwt6fV60loLTc/view?usp=drivesdk","Hylics 1+2.pdf")</f>
        <v>Hylics 1+2.pdf</v>
      </c>
      <c r="B1735" s="12" t="str">
        <f t="shared" si="192"/>
        <v>DriveAnon's 4chan Drive/2. EVERYONE ELSE'S JUMPS/1. Complete with images</v>
      </c>
    </row>
    <row r="1736">
      <c r="A1736" s="12" t="str">
        <f>HYPERLINK("https://drive.google.com/file/d/1dyxwArby5lS-QgnJyWaM1pIxq17ZUvXn/view?usp=drivesdk","The Santa Clause.pdf")</f>
        <v>The Santa Clause.pdf</v>
      </c>
      <c r="B1736" s="12" t="str">
        <f t="shared" si="192"/>
        <v>DriveAnon's 4chan Drive/2. EVERYONE ELSE'S JUMPS/1. Complete with images</v>
      </c>
    </row>
    <row r="1737">
      <c r="A1737" s="12" t="str">
        <f>HYPERLINK("https://drive.google.com/file/d/1557MpgHgm3mRcCyAZYV0ENYYhWcJefwa/view?usp=drivesdk","Chaos Rings.pdf")</f>
        <v>Chaos Rings.pdf</v>
      </c>
      <c r="B1737" s="12" t="str">
        <f t="shared" si="192"/>
        <v>DriveAnon's 4chan Drive/2. EVERYONE ELSE'S JUMPS/1. Complete with images</v>
      </c>
    </row>
    <row r="1738">
      <c r="A1738" s="12" t="str">
        <f>HYPERLINK("https://drive.google.com/file/d/1W_iUmV2I-aNkx_V-XVUh4CqFjNEadpYq/view?usp=drivesdk","The Song of the Nibelungs.pdf")</f>
        <v>The Song of the Nibelungs.pdf</v>
      </c>
      <c r="B1738" s="12" t="str">
        <f t="shared" si="192"/>
        <v>DriveAnon's 4chan Drive/2. EVERYONE ELSE'S JUMPS/1. Complete with images</v>
      </c>
    </row>
    <row r="1739">
      <c r="A1739" s="12" t="str">
        <f>HYPERLINK("https://drive.google.com/file/d/1Y8StqtnzW3YT7PStU_mW37nSxFXpiLzt/view?usp=drivesdk","Resident Evil.pdf")</f>
        <v>Resident Evil.pdf</v>
      </c>
      <c r="B1739" s="12" t="str">
        <f t="shared" si="192"/>
        <v>DriveAnon's 4chan Drive/2. EVERYONE ELSE'S JUMPS/1. Complete with images</v>
      </c>
    </row>
    <row r="1740">
      <c r="A1740" s="12" t="str">
        <f>HYPERLINK("https://drive.google.com/file/d/1L-rRAuOUCTAyE4R0AFYuAfS-QUU3XSZ_/view?usp=drivesdk","Breath Of Fire 3.pdf")</f>
        <v>Breath Of Fire 3.pdf</v>
      </c>
      <c r="B1740" s="12" t="str">
        <f t="shared" si="192"/>
        <v>DriveAnon's 4chan Drive/2. EVERYONE ELSE'S JUMPS/1. Complete with images</v>
      </c>
    </row>
    <row r="1741">
      <c r="A1741" s="12" t="str">
        <f>HYPERLINK("https://drive.google.com/file/d/1kxXypFDreuvfHZoDRZMY3xuSdp1WTYxA/view?usp=drivesdk","Avesta of Black and White.pdf")</f>
        <v>Avesta of Black and White.pdf</v>
      </c>
      <c r="B1741" s="12" t="str">
        <f t="shared" si="192"/>
        <v>DriveAnon's 4chan Drive/2. EVERYONE ELSE'S JUMPS/1. Complete with images</v>
      </c>
    </row>
    <row r="1742">
      <c r="A1742" s="12" t="str">
        <f>HYPERLINK("https://drive.google.com/file/d/16kRu1sUA4L-LrS_xGP-5QjOw4X1DwGC0/view?usp=drivesdk","Hakaijuu Creature!.pdf")</f>
        <v>Hakaijuu Creature!.pdf</v>
      </c>
      <c r="B1742" s="12" t="str">
        <f t="shared" si="192"/>
        <v>DriveAnon's 4chan Drive/2. EVERYONE ELSE'S JUMPS/1. Complete with images</v>
      </c>
    </row>
    <row r="1743">
      <c r="A1743" s="12" t="str">
        <f>HYPERLINK("https://drive.google.com/file/d/1SB6XOgMGhJ0A0wqQxomsxpOHs3vBVcWP/view?usp=drivesdk","Ragna Crimson.pdf")</f>
        <v>Ragna Crimson.pdf</v>
      </c>
      <c r="B1743" s="12" t="str">
        <f t="shared" si="192"/>
        <v>DriveAnon's 4chan Drive/2. EVERYONE ELSE'S JUMPS/1. Complete with images</v>
      </c>
    </row>
    <row r="1744">
      <c r="A1744" s="12" t="str">
        <f>HYPERLINK("https://drive.google.com/file/d/1qsyMafSEwxjHfYviHDMGN4l9Q9vVv34G/view?usp=drivesdk","Legend of the River King.pdf")</f>
        <v>Legend of the River King.pdf</v>
      </c>
      <c r="B1744" s="12" t="str">
        <f t="shared" si="192"/>
        <v>DriveAnon's 4chan Drive/2. EVERYONE ELSE'S JUMPS/1. Complete with images</v>
      </c>
    </row>
    <row r="1745">
      <c r="A1745" s="12" t="str">
        <f>HYPERLINK("https://drive.google.com/file/d/1t3JioXSFjkW29CbH-gV_vW4m5qHfOkjQ/view?usp=drivesdk","Master of Magic.pdf")</f>
        <v>Master of Magic.pdf</v>
      </c>
      <c r="B1745" s="12" t="str">
        <f t="shared" si="192"/>
        <v>DriveAnon's 4chan Drive/2. EVERYONE ELSE'S JUMPS/1. Complete with images</v>
      </c>
    </row>
    <row r="1746">
      <c r="A1746" s="12" t="str">
        <f>HYPERLINK("https://drive.google.com/file/d/1BuOKlSAn66O_LsvPR8DI5QVqqMsA0LFl/view?usp=drivesdk","Hades.pdf")</f>
        <v>Hades.pdf</v>
      </c>
      <c r="B1746" s="12" t="str">
        <f t="shared" si="192"/>
        <v>DriveAnon's 4chan Drive/2. EVERYONE ELSE'S JUMPS/1. Complete with images</v>
      </c>
    </row>
    <row r="1747">
      <c r="A1747" s="12" t="str">
        <f>HYPERLINK("https://drive.google.com/file/d/1dxPZe9nMXAAy8XZsDmYnfWgUo4LB4tne/view?usp=drivesdk","Prehistoric Earth.pdf")</f>
        <v>Prehistoric Earth.pdf</v>
      </c>
      <c r="B1747" s="12" t="str">
        <f t="shared" si="192"/>
        <v>DriveAnon's 4chan Drive/2. EVERYONE ELSE'S JUMPS/1. Complete with images</v>
      </c>
    </row>
    <row r="1748">
      <c r="A1748" s="12" t="str">
        <f>HYPERLINK("https://drive.google.com/file/d/1enmfsXtGc6IQ2tcXFH_52h0TNVUFiiJB/view?usp=drivesdk","Epic Battle Fantasy.pdf")</f>
        <v>Epic Battle Fantasy.pdf</v>
      </c>
      <c r="B1748" s="12" t="str">
        <f t="shared" si="192"/>
        <v>DriveAnon's 4chan Drive/2. EVERYONE ELSE'S JUMPS/1. Complete with images</v>
      </c>
    </row>
    <row r="1749">
      <c r="A1749" s="12" t="str">
        <f>HYPERLINK("https://drive.google.com/file/d/1mi2ybGwSyceuRmVn4oMIrraXGugxZ-1U/view?usp=drivesdk","Clone High.pdf")</f>
        <v>Clone High.pdf</v>
      </c>
      <c r="B1749" s="12" t="str">
        <f t="shared" si="192"/>
        <v>DriveAnon's 4chan Drive/2. EVERYONE ELSE'S JUMPS/1. Complete with images</v>
      </c>
    </row>
    <row r="1750">
      <c r="A1750" s="12" t="str">
        <f>HYPERLINK("https://drive.google.com/file/d/1z5TiaGlU_gBYjTsH6di3z7r2y-9obZoE/view?usp=drivesdk","Kenshi.pdf")</f>
        <v>Kenshi.pdf</v>
      </c>
      <c r="B1750" s="12" t="str">
        <f t="shared" si="192"/>
        <v>DriveAnon's 4chan Drive/2. EVERYONE ELSE'S JUMPS/1. Complete with images</v>
      </c>
    </row>
    <row r="1751">
      <c r="A1751" s="12" t="str">
        <f>HYPERLINK("https://drive.google.com/file/d/1GarL21o1BWX8-EDGLvWxzUcUjmOFr1xN/view?usp=drivesdk","Sekiro.pdf")</f>
        <v>Sekiro.pdf</v>
      </c>
      <c r="B1751" s="12" t="str">
        <f t="shared" si="192"/>
        <v>DriveAnon's 4chan Drive/2. EVERYONE ELSE'S JUMPS/1. Complete with images</v>
      </c>
    </row>
    <row r="1752">
      <c r="A1752" s="12" t="str">
        <f>HYPERLINK("https://drive.google.com/file/d/1TOyqli41yl2pdNDxJOdhG0rqW0ej3Zx3/view?usp=drivesdk","Mad Father.pdf")</f>
        <v>Mad Father.pdf</v>
      </c>
      <c r="B1752" s="12" t="str">
        <f t="shared" si="192"/>
        <v>DriveAnon's 4chan Drive/2. EVERYONE ELSE'S JUMPS/1. Complete with images</v>
      </c>
    </row>
    <row r="1753">
      <c r="A1753" s="12" t="str">
        <f>HYPERLINK("https://drive.google.com/file/d/1l28xDYR-bGOP_nBvmTHI7lthU6hYyKud/view?usp=drivesdk","Loop Hero.pdf")</f>
        <v>Loop Hero.pdf</v>
      </c>
      <c r="B1753" s="12" t="str">
        <f t="shared" si="192"/>
        <v>DriveAnon's 4chan Drive/2. EVERYONE ELSE'S JUMPS/1. Complete with images</v>
      </c>
    </row>
    <row r="1754">
      <c r="A1754" s="12" t="str">
        <f>HYPERLINK("https://drive.google.com/file/d/16ldsFlTAr14Mk2U4KGUc0ANpxDxadbMl/view?usp=drivesdk","Inugamihime Ni Kuchizuke.pdf")</f>
        <v>Inugamihime Ni Kuchizuke.pdf</v>
      </c>
      <c r="B1754" s="12" t="str">
        <f t="shared" si="192"/>
        <v>DriveAnon's 4chan Drive/2. EVERYONE ELSE'S JUMPS/1. Complete with images</v>
      </c>
    </row>
    <row r="1755">
      <c r="A1755" s="12" t="str">
        <f>HYPERLINK("https://drive.google.com/file/d/1SLHqJsRFQ2s5G77rsGB9z1b1xsI7WAL4/view?usp=drivesdk","Stardew Valley.pdf")</f>
        <v>Stardew Valley.pdf</v>
      </c>
      <c r="B1755" s="12" t="str">
        <f t="shared" si="192"/>
        <v>DriveAnon's 4chan Drive/2. EVERYONE ELSE'S JUMPS/1. Complete with images</v>
      </c>
    </row>
    <row r="1756">
      <c r="A1756" s="12" t="str">
        <f>HYPERLINK("https://drive.google.com/file/d/1uOoxQKmBXU-vQo4dAXxroEchXrnyCeTm/view?usp=drivesdk","Magical Sempai.pdf")</f>
        <v>Magical Sempai.pdf</v>
      </c>
      <c r="B1756" s="12" t="str">
        <f t="shared" si="192"/>
        <v>DriveAnon's 4chan Drive/2. EVERYONE ELSE'S JUMPS/1. Complete with images</v>
      </c>
    </row>
    <row r="1757">
      <c r="A1757" s="12" t="str">
        <f>HYPERLINK("https://drive.google.com/file/d/1bxJanv_vaRLXMhwUnl8rrvy_s4dgdA6y/view?usp=drivesdk","Kill Bill.pdf")</f>
        <v>Kill Bill.pdf</v>
      </c>
      <c r="B1757" s="12" t="str">
        <f t="shared" si="192"/>
        <v>DriveAnon's 4chan Drive/2. EVERYONE ELSE'S JUMPS/1. Complete with images</v>
      </c>
    </row>
    <row r="1758">
      <c r="A1758" s="12" t="str">
        <f>HYPERLINK("https://drive.google.com/file/d/1s3Wl-sWK9TWclASHPl9hK-zRXee7uF3G/view?usp=drivesdk","Frog Fractions.pdf")</f>
        <v>Frog Fractions.pdf</v>
      </c>
      <c r="B1758" s="12" t="str">
        <f t="shared" si="192"/>
        <v>DriveAnon's 4chan Drive/2. EVERYONE ELSE'S JUMPS/1. Complete with images</v>
      </c>
    </row>
    <row r="1759">
      <c r="A1759" s="12" t="str">
        <f>HYPERLINK("https://drive.google.com/file/d/1fQTZq_XFvoIniD4iqSGe-7achENZAdOh/view?usp=drivesdk","The Secret of Kells.pdf")</f>
        <v>The Secret of Kells.pdf</v>
      </c>
      <c r="B1759" s="12" t="str">
        <f t="shared" si="192"/>
        <v>DriveAnon's 4chan Drive/2. EVERYONE ELSE'S JUMPS/1. Complete with images</v>
      </c>
    </row>
    <row r="1760">
      <c r="A1760" s="12" t="str">
        <f>HYPERLINK("https://drive.google.com/file/d/18L4_suVdcH-SIct4O-3SBSA5WiEkdU3a/view?usp=drivesdk","Ori And The Blind Forest.pdf")</f>
        <v>Ori And The Blind Forest.pdf</v>
      </c>
      <c r="B1760" s="12" t="str">
        <f t="shared" si="192"/>
        <v>DriveAnon's 4chan Drive/2. EVERYONE ELSE'S JUMPS/1. Complete with images</v>
      </c>
    </row>
    <row r="1761">
      <c r="A1761" s="12" t="str">
        <f>HYPERLINK("https://drive.google.com/file/d/1soBaohCv3rOjiNCwXRNkkCIBleuqbwnH/view?usp=drivesdk","Tetsuwan Birdy.pdf")</f>
        <v>Tetsuwan Birdy.pdf</v>
      </c>
      <c r="B1761" s="12" t="str">
        <f t="shared" si="192"/>
        <v>DriveAnon's 4chan Drive/2. EVERYONE ELSE'S JUMPS/1. Complete with images</v>
      </c>
    </row>
    <row r="1762">
      <c r="A1762" s="12" t="str">
        <f>HYPERLINK("https://drive.google.com/file/d/18Whuy7I-Th0Wve6f2hbeqGXSB852cqch/view?usp=drivesdk","Suikoden.pdf")</f>
        <v>Suikoden.pdf</v>
      </c>
      <c r="B1762" s="12" t="str">
        <f t="shared" si="192"/>
        <v>DriveAnon's 4chan Drive/2. EVERYONE ELSE'S JUMPS/1. Complete with images</v>
      </c>
    </row>
    <row r="1763">
      <c r="A1763" s="12" t="str">
        <f>HYPERLINK("https://drive.google.com/file/d/1eFCvTEnhqEfLtzJYvqr1Kj6fqzcZseIL/view?usp=drivesdk","Yuragi-sō no Yūna-san JumpChain.pdf")</f>
        <v>Yuragi-sō no Yūna-san JumpChain.pdf</v>
      </c>
      <c r="B1763" s="12" t="str">
        <f t="shared" si="192"/>
        <v>DriveAnon's 4chan Drive/2. EVERYONE ELSE'S JUMPS/1. Complete with images</v>
      </c>
    </row>
    <row r="1764">
      <c r="A1764" s="12" t="str">
        <f>HYPERLINK("https://drive.google.com/file/d/18NppdAPspgeFW2y3HsrAoQcTzPfQPo7G/view?usp=drivesdk","Jurassic Park Jump.pdf")</f>
        <v>Jurassic Park Jump.pdf</v>
      </c>
      <c r="B1764" s="12" t="str">
        <f t="shared" si="192"/>
        <v>DriveAnon's 4chan Drive/2. EVERYONE ELSE'S JUMPS/1. Complete with images</v>
      </c>
    </row>
    <row r="1765">
      <c r="A1765" s="12" t="str">
        <f>HYPERLINK("https://drive.google.com/file/d/18ZOwrejmkdO28h1DJHUcYTaaXbw3dWOk/view?usp=drivesdk","Mother Jumpchain.pdf")</f>
        <v>Mother Jumpchain.pdf</v>
      </c>
      <c r="B1765" s="12" t="str">
        <f t="shared" si="192"/>
        <v>DriveAnon's 4chan Drive/2. EVERYONE ELSE'S JUMPS/1. Complete with images</v>
      </c>
    </row>
    <row r="1766">
      <c r="A1766" s="12" t="str">
        <f>HYPERLINK("https://drive.google.com/file/d/1Aa7F-335qPgYHejIi3_ovgoGtxmkkDoH/view?usp=drivesdk","Scooby-Doo Jumpchain.pdf")</f>
        <v>Scooby-Doo Jumpchain.pdf</v>
      </c>
      <c r="B1766" s="12" t="str">
        <f t="shared" si="192"/>
        <v>DriveAnon's 4chan Drive/2. EVERYONE ELSE'S JUMPS/1. Complete with images</v>
      </c>
    </row>
    <row r="1767">
      <c r="A1767" s="12" t="str">
        <f>HYPERLINK("https://drive.google.com/file/d/1Dc22PrTE8KX5ZvrQ6Ly8gBj1VRm2r6P9/view?usp=drivesdk","Golden Sun Jumpchain.pdf")</f>
        <v>Golden Sun Jumpchain.pdf</v>
      </c>
      <c r="B1767" s="12" t="str">
        <f t="shared" si="192"/>
        <v>DriveAnon's 4chan Drive/2. EVERYONE ELSE'S JUMPS/1. Complete with images</v>
      </c>
    </row>
    <row r="1768">
      <c r="A1768" s="12" t="str">
        <f>HYPERLINK("https://drive.google.com/file/d/1Op7zZgZrbbPqzVBVvQQxj1PAc_Akm0jO/view?usp=drivesdk","Generation Kill JumpChain.pdf")</f>
        <v>Generation Kill JumpChain.pdf</v>
      </c>
      <c r="B1768" s="12" t="str">
        <f t="shared" si="192"/>
        <v>DriveAnon's 4chan Drive/2. EVERYONE ELSE'S JUMPS/1. Complete with images</v>
      </c>
    </row>
    <row r="1769">
      <c r="A1769" s="12" t="str">
        <f>HYPERLINK("https://drive.google.com/file/d/1PmZ8ne5aBFqZ1jotZOjiwzIXdERlUaKj/view?usp=drivesdk","Predator JumpChain.pdf")</f>
        <v>Predator JumpChain.pdf</v>
      </c>
      <c r="B1769" s="12" t="str">
        <f t="shared" si="192"/>
        <v>DriveAnon's 4chan Drive/2. EVERYONE ELSE'S JUMPS/1. Complete with images</v>
      </c>
    </row>
    <row r="1770">
      <c r="A1770" s="12" t="str">
        <f>HYPERLINK("https://drive.google.com/file/d/1TYdkQmV3YnKKix843HeT9kgqS6d-UUFv/view?usp=drivesdk","Banjo-Kazooie JumpChain.pdf")</f>
        <v>Banjo-Kazooie JumpChain.pdf</v>
      </c>
      <c r="B1770" s="12" t="str">
        <f t="shared" si="192"/>
        <v>DriveAnon's 4chan Drive/2. EVERYONE ELSE'S JUMPS/1. Complete with images</v>
      </c>
    </row>
    <row r="1771">
      <c r="A1771" s="12" t="str">
        <f>HYPERLINK("https://drive.google.com/file/d/1UQZnBorPWGMya6o-ZnCapqlHgM8_AOcj/view?usp=drivesdk","Darksiders Jumpchain.pdf")</f>
        <v>Darksiders Jumpchain.pdf</v>
      </c>
      <c r="B1771" s="12" t="str">
        <f t="shared" si="192"/>
        <v>DriveAnon's 4chan Drive/2. EVERYONE ELSE'S JUMPS/1. Complete with images</v>
      </c>
    </row>
    <row r="1772">
      <c r="A1772" s="12" t="str">
        <f>HYPERLINK("https://drive.google.com/file/d/1YsYxMiU8PFnTy8U7klneBqUJ5l6WVV5z/view?usp=drivesdk","Tropico-The Dictator JumpChain.pdf")</f>
        <v>Tropico-The Dictator JumpChain.pdf</v>
      </c>
      <c r="B1772" s="12" t="str">
        <f t="shared" si="192"/>
        <v>DriveAnon's 4chan Drive/2. EVERYONE ELSE'S JUMPS/1. Complete with images</v>
      </c>
    </row>
    <row r="1773">
      <c r="A1773" s="12" t="str">
        <f>HYPERLINK("https://drive.google.com/file/d/1_JHdTiZosxIbP-V5BccUFxmaIAz7gD_R/view?usp=drivesdk","Prototype JumpChain.pdf")</f>
        <v>Prototype JumpChain.pdf</v>
      </c>
      <c r="B1773" s="12" t="str">
        <f t="shared" si="192"/>
        <v>DriveAnon's 4chan Drive/2. EVERYONE ELSE'S JUMPS/1. Complete with images</v>
      </c>
    </row>
    <row r="1774">
      <c r="A1774" s="12" t="str">
        <f>HYPERLINK("https://drive.google.com/file/d/1hklFVBi8RvkDERpR0y5Ws-Nhj9z4SBNC/view?usp=drivesdk","Battlestar Galactica JumpChain.pdf")</f>
        <v>Battlestar Galactica JumpChain.pdf</v>
      </c>
      <c r="B1774" s="12" t="str">
        <f t="shared" si="192"/>
        <v>DriveAnon's 4chan Drive/2. EVERYONE ELSE'S JUMPS/1. Complete with images</v>
      </c>
    </row>
    <row r="1775">
      <c r="A1775" s="12" t="str">
        <f>HYPERLINK("https://drive.google.com/file/d/1k5J5u9beStZQRHUhZRPyZXEAh_WsqY7u/view?usp=drivesdk","Courage the Cowardly Dog! JumpChain.pdf")</f>
        <v>Courage the Cowardly Dog! JumpChain.pdf</v>
      </c>
      <c r="B1775" s="12" t="str">
        <f t="shared" si="192"/>
        <v>DriveAnon's 4chan Drive/2. EVERYONE ELSE'S JUMPS/1. Complete with images</v>
      </c>
    </row>
    <row r="1776">
      <c r="A1776" s="12" t="str">
        <f>HYPERLINK("https://drive.google.com/file/d/1lxDph-qhLONARmr7OOT9fZ5DrhmF-yDx/view?usp=drivesdk","Populous JumpChain.pdf")</f>
        <v>Populous JumpChain.pdf</v>
      </c>
      <c r="B1776" s="12" t="str">
        <f t="shared" si="192"/>
        <v>DriveAnon's 4chan Drive/2. EVERYONE ELSE'S JUMPS/1. Complete with images</v>
      </c>
    </row>
    <row r="1777">
      <c r="A1777" s="12" t="str">
        <f>HYPERLINK("https://drive.google.com/file/d/1mo2iGMuIyiPvyeYe0ZefEiu8T4Hw-5fn/view?usp=drivesdk","Gunnerkrigg Court JumpChain.pdf")</f>
        <v>Gunnerkrigg Court JumpChain.pdf</v>
      </c>
      <c r="B1777" s="12" t="str">
        <f t="shared" si="192"/>
        <v>DriveAnon's 4chan Drive/2. EVERYONE ELSE'S JUMPS/1. Complete with images</v>
      </c>
    </row>
    <row r="1778">
      <c r="A1778" s="12" t="str">
        <f>HYPERLINK("https://drive.google.com/file/d/1ncwwjEujVr4BpjUQyx63kKQyyFA31M1N/view?usp=drivesdk","Otoyomegatari (Bride Stories) JumpChain.pdf")</f>
        <v>Otoyomegatari (Bride Stories) JumpChain.pdf</v>
      </c>
      <c r="B1778" s="12" t="str">
        <f t="shared" si="192"/>
        <v>DriveAnon's 4chan Drive/2. EVERYONE ELSE'S JUMPS/1. Complete with images</v>
      </c>
    </row>
    <row r="1779">
      <c r="A1779" s="12" t="str">
        <f>HYPERLINK("https://drive.google.com/file/d/1qqQ4Htes79uNJomSf9adgwcK53lsdW1n/view?usp=drivesdk","Futurama JumpChain.pdf")</f>
        <v>Futurama JumpChain.pdf</v>
      </c>
      <c r="B1779" s="12" t="str">
        <f t="shared" si="192"/>
        <v>DriveAnon's 4chan Drive/2. EVERYONE ELSE'S JUMPS/1. Complete with images</v>
      </c>
    </row>
    <row r="1780">
      <c r="A1780" s="12" t="str">
        <f>HYPERLINK("https://drive.google.com/file/d/1rGXu1ZKxxhOM2xa8zfH8oPCNAVxNnqPw/view?usp=drivesdk","Invader Zim JumpChain.pdf")</f>
        <v>Invader Zim JumpChain.pdf</v>
      </c>
      <c r="B1780" s="12" t="str">
        <f t="shared" si="192"/>
        <v>DriveAnon's 4chan Drive/2. EVERYONE ELSE'S JUMPS/1. Complete with images</v>
      </c>
    </row>
    <row r="1781">
      <c r="A1781" s="12" t="str">
        <f>HYPERLINK("https://drive.google.com/file/d/1rjFNEgKqLNgp9t_bGhgStmoQ1ia9b_6k/view?usp=drivesdk","eXceed Jumpchain.pdf")</f>
        <v>eXceed Jumpchain.pdf</v>
      </c>
      <c r="B1781" s="12" t="str">
        <f t="shared" si="192"/>
        <v>DriveAnon's 4chan Drive/2. EVERYONE ELSE'S JUMPS/1. Complete with images</v>
      </c>
    </row>
    <row r="1782">
      <c r="A1782" s="12" t="str">
        <f>HYPERLINK("https://drive.google.com/file/d/1u-gFEB1nCXVnSgwj-2-IZ4vfB2EJhLvE/view?usp=drivesdk","Saints Row Jumpchain.pdf")</f>
        <v>Saints Row Jumpchain.pdf</v>
      </c>
      <c r="B1782" s="12" t="str">
        <f t="shared" si="192"/>
        <v>DriveAnon's 4chan Drive/2. EVERYONE ELSE'S JUMPS/1. Complete with images</v>
      </c>
    </row>
    <row r="1783">
      <c r="A1783" s="12" t="str">
        <f>HYPERLINK("https://drive.google.com/file/d/1wB9dA34EG4Ia15zqbRdNPfWFsFzTilmD/view?usp=drivesdk","Magicka JumpChain.pdf")</f>
        <v>Magicka JumpChain.pdf</v>
      </c>
      <c r="B1783" s="12" t="str">
        <f t="shared" si="192"/>
        <v>DriveAnon's 4chan Drive/2. EVERYONE ELSE'S JUMPS/1. Complete with images</v>
      </c>
    </row>
    <row r="1784">
      <c r="A1784" s="12" t="str">
        <f>HYPERLINK("https://drive.google.com/file/d/1xmt-Cwi5LsRfJGLR6ZOsEPW7q-VDygPg/view?usp=drivesdk","The Matrix JumpChain.pdf")</f>
        <v>The Matrix JumpChain.pdf</v>
      </c>
      <c r="B1784" s="12" t="str">
        <f t="shared" si="192"/>
        <v>DriveAnon's 4chan Drive/2. EVERYONE ELSE'S JUMPS/1. Complete with images</v>
      </c>
    </row>
    <row r="1785">
      <c r="A1785" s="12" t="str">
        <f>HYPERLINK("https://drive.google.com/file/d/1ycsrJOygADkl-WgSSEJSAwCSO8INGxEG/view?usp=drivesdk","VA-11 HALL-A Cyberpunk Bartender Action JumpChain.pdf")</f>
        <v>VA-11 HALL-A Cyberpunk Bartender Action JumpChain.pdf</v>
      </c>
      <c r="B1785" s="12" t="str">
        <f t="shared" si="192"/>
        <v>DriveAnon's 4chan Drive/2. EVERYONE ELSE'S JUMPS/1. Complete with images</v>
      </c>
    </row>
    <row r="1786">
      <c r="A1786" s="12" t="str">
        <f>HYPERLINK("https://drive.google.com/file/d/1-es-ykNTo0n96HHOqj3w-0MCVZzMJxFz/view?usp=drivesdk","Eclipse Phase Core _ Firewall JumpChain.pdf")</f>
        <v>Eclipse Phase Core _ Firewall JumpChain.pdf</v>
      </c>
      <c r="B1786" s="12" t="str">
        <f t="shared" si="192"/>
        <v>DriveAnon's 4chan Drive/2. EVERYONE ELSE'S JUMPS/1. Complete with images</v>
      </c>
    </row>
    <row r="1787">
      <c r="A1787" s="12" t="str">
        <f>HYPERLINK("https://drive.google.com/file/d/116bkFPFCTLPSxHqqTlpcWtOGICNCUSz3/view?usp=drivesdk","Buffyverse JumpChain.pdf")</f>
        <v>Buffyverse JumpChain.pdf</v>
      </c>
      <c r="B1787" s="12" t="str">
        <f t="shared" si="192"/>
        <v>DriveAnon's 4chan Drive/2. EVERYONE ELSE'S JUMPS/1. Complete with images</v>
      </c>
    </row>
    <row r="1788">
      <c r="A1788" s="12" t="str">
        <f>HYPERLINK("https://drive.google.com/file/d/12HVgVb0kOuaiaFSmUMtcUZ5-m8oFghoA/view?usp=drivesdk","Cardcaptor Sakura JumpChain.pdf")</f>
        <v>Cardcaptor Sakura JumpChain.pdf</v>
      </c>
      <c r="B1788" s="12" t="str">
        <f t="shared" si="192"/>
        <v>DriveAnon's 4chan Drive/2. EVERYONE ELSE'S JUMPS/1. Complete with images</v>
      </c>
    </row>
    <row r="1789">
      <c r="A1789" s="12" t="str">
        <f>HYPERLINK("https://drive.google.com/file/d/131viY6ZkH1YxS58bjcGpDl5jU3VKXDsX/view?usp=drivesdk","Nintendogs JumpChain.pdf")</f>
        <v>Nintendogs JumpChain.pdf</v>
      </c>
      <c r="B1789" s="12" t="str">
        <f t="shared" si="192"/>
        <v>DriveAnon's 4chan Drive/2. EVERYONE ELSE'S JUMPS/1. Complete with images</v>
      </c>
    </row>
    <row r="1790">
      <c r="A1790" s="12" t="str">
        <f>HYPERLINK("https://drive.google.com/file/d/149_dow-hD5H_R2A_ax93TOrjAOCQ0gHj/view?usp=drivesdk","Hellblazer JumpChain.pdf")</f>
        <v>Hellblazer JumpChain.pdf</v>
      </c>
      <c r="B1790" s="12" t="str">
        <f t="shared" si="192"/>
        <v>DriveAnon's 4chan Drive/2. EVERYONE ELSE'S JUMPS/1. Complete with images</v>
      </c>
    </row>
    <row r="1791">
      <c r="A1791" s="12" t="str">
        <f>HYPERLINK("https://drive.google.com/file/d/14OjCROvfRED44E776tLiRKGGOoahIwdr/view?usp=drivesdk","Gargantia JumpChain.pdf")</f>
        <v>Gargantia JumpChain.pdf</v>
      </c>
      <c r="B1791" s="12" t="str">
        <f t="shared" si="192"/>
        <v>DriveAnon's 4chan Drive/2. EVERYONE ELSE'S JUMPS/1. Complete with images</v>
      </c>
    </row>
    <row r="1792">
      <c r="A1792" s="12" t="str">
        <f>HYPERLINK("https://drive.google.com/file/d/19YzWzatRUzAwaQZ_TCIDejzOyBqI9IKK/view?usp=drivesdk","Firefly JumpChain.pdf")</f>
        <v>Firefly JumpChain.pdf</v>
      </c>
      <c r="B1792" s="12" t="str">
        <f t="shared" si="192"/>
        <v>DriveAnon's 4chan Drive/2. EVERYONE ELSE'S JUMPS/1. Complete with images</v>
      </c>
    </row>
    <row r="1793">
      <c r="A1793" s="12" t="str">
        <f>HYPERLINK("https://drive.google.com/file/d/19_MNOasrkm9h52p3JqfBVSYC9yK7POCS/view?usp=drivesdk","Kim Possible JumpChain.pdf")</f>
        <v>Kim Possible JumpChain.pdf</v>
      </c>
      <c r="B1793" s="12" t="str">
        <f t="shared" si="192"/>
        <v>DriveAnon's 4chan Drive/2. EVERYONE ELSE'S JUMPS/1. Complete with images</v>
      </c>
    </row>
    <row r="1794">
      <c r="A1794" s="12" t="str">
        <f>HYPERLINK("https://drive.google.com/file/d/1BNRdruFryXlkKeS1vS9zIvejcGbXy-Bk/view?usp=drivesdk","Sly Cooper JumpChain.pdf")</f>
        <v>Sly Cooper JumpChain.pdf</v>
      </c>
      <c r="B1794" s="12" t="str">
        <f t="shared" si="192"/>
        <v>DriveAnon's 4chan Drive/2. EVERYONE ELSE'S JUMPS/1. Complete with images</v>
      </c>
    </row>
    <row r="1795">
      <c r="A1795" s="12" t="str">
        <f>HYPERLINK("https://drive.google.com/file/d/1FGyUXYaLGgN2J2XrOP5G8KaOaIP_12N2/view?usp=drivesdk","Jackie-Chan Adventure JumpChain.pdf")</f>
        <v>Jackie-Chan Adventure JumpChain.pdf</v>
      </c>
      <c r="B1795" s="12" t="str">
        <f t="shared" si="192"/>
        <v>DriveAnon's 4chan Drive/2. EVERYONE ELSE'S JUMPS/1. Complete with images</v>
      </c>
    </row>
    <row r="1796">
      <c r="A1796" s="12" t="str">
        <f>HYPERLINK("https://drive.google.com/file/d/1GHiAPF1kTckO6OvfybG8cbQbGgBLmDiK/view?usp=drivesdk","Megas XLR JumpChain.pdf")</f>
        <v>Megas XLR JumpChain.pdf</v>
      </c>
      <c r="B1796" s="12" t="str">
        <f t="shared" si="192"/>
        <v>DriveAnon's 4chan Drive/2. EVERYONE ELSE'S JUMPS/1. Complete with images</v>
      </c>
    </row>
    <row r="1797">
      <c r="A1797" s="12" t="str">
        <f>HYPERLINK("https://drive.google.com/file/d/1JEVpJKljZhfC3i0XEor_L32FgX7iLLsi/view?usp=drivesdk","ACTRAISER JumpChain.pdf")</f>
        <v>ACTRAISER JumpChain.pdf</v>
      </c>
      <c r="B1797" s="12" t="str">
        <f t="shared" si="192"/>
        <v>DriveAnon's 4chan Drive/2. EVERYONE ELSE'S JUMPS/1. Complete with images</v>
      </c>
    </row>
    <row r="1798">
      <c r="A1798" s="12" t="str">
        <f>HYPERLINK("https://drive.google.com/file/d/1Jz1doV3vYOCrmMEeAqEndYL3JSdx8y_4/view?usp=drivesdk","Twilight JumpChain.pdf")</f>
        <v>Twilight JumpChain.pdf</v>
      </c>
      <c r="B1798" s="12" t="str">
        <f t="shared" si="192"/>
        <v>DriveAnon's 4chan Drive/2. EVERYONE ELSE'S JUMPS/1. Complete with images</v>
      </c>
    </row>
    <row r="1799">
      <c r="A1799" s="12" t="str">
        <f>HYPERLINK("https://drive.google.com/file/d/1MWMXw0_LRs3XpkZY8UMwwQ_ibJY_4WWv/view?usp=drivesdk","Adventure Time JumpChain.pdf")</f>
        <v>Adventure Time JumpChain.pdf</v>
      </c>
      <c r="B1799" s="12" t="str">
        <f t="shared" si="192"/>
        <v>DriveAnon's 4chan Drive/2. EVERYONE ELSE'S JUMPS/1. Complete with images</v>
      </c>
    </row>
    <row r="1800">
      <c r="A1800" s="12" t="str">
        <f>HYPERLINK("https://drive.google.com/file/d/1OKlGFRwEQr0wkdHAbBVRLsw8nGLVN4A2/view?usp=drivesdk","Arpeggio of Blue Steel JumpChain.pdf")</f>
        <v>Arpeggio of Blue Steel JumpChain.pdf</v>
      </c>
      <c r="B1800" s="12" t="str">
        <f t="shared" si="192"/>
        <v>DriveAnon's 4chan Drive/2. EVERYONE ELSE'S JUMPS/1. Complete with images</v>
      </c>
    </row>
    <row r="1801">
      <c r="A1801" s="12" t="str">
        <f>HYPERLINK("https://drive.google.com/file/d/1OdXIdS2bEIZD93H9Q31Jf9f7T30Q52Hp/view?usp=drivesdk","Parasyte JumpChain.pdf")</f>
        <v>Parasyte JumpChain.pdf</v>
      </c>
      <c r="B1801" s="12" t="str">
        <f t="shared" si="192"/>
        <v>DriveAnon's 4chan Drive/2. EVERYONE ELSE'S JUMPS/1. Complete with images</v>
      </c>
    </row>
    <row r="1802">
      <c r="A1802" s="12" t="str">
        <f>HYPERLINK("https://drive.google.com/file/d/1QC6gToU0UOAMIbsNUThViXCgh3yTPolc/view?usp=drivesdk","Demons Souls jumpChain.pdf")</f>
        <v>Demons Souls jumpChain.pdf</v>
      </c>
      <c r="B1802" s="12" t="str">
        <f t="shared" si="192"/>
        <v>DriveAnon's 4chan Drive/2. EVERYONE ELSE'S JUMPS/1. Complete with images</v>
      </c>
    </row>
    <row r="1803">
      <c r="A1803" s="12" t="str">
        <f>HYPERLINK("https://drive.google.com/file/d/1QI_LCUkF6waFx5T1seJst-HAWKIy_WXE/view?usp=drivesdk","Alan Wake JumpChain.pdf")</f>
        <v>Alan Wake JumpChain.pdf</v>
      </c>
      <c r="B1803" s="12" t="str">
        <f t="shared" si="192"/>
        <v>DriveAnon's 4chan Drive/2. EVERYONE ELSE'S JUMPS/1. Complete with images</v>
      </c>
    </row>
    <row r="1804">
      <c r="A1804" s="12" t="str">
        <f>HYPERLINK("https://drive.google.com/file/d/1T2dGHHVfF3sq-dyjv0Icw4qizOQbG7jR/view?usp=drivesdk","Imawabi No Dakini Jumpchain.pdf")</f>
        <v>Imawabi No Dakini Jumpchain.pdf</v>
      </c>
      <c r="B1804" s="12" t="str">
        <f t="shared" si="192"/>
        <v>DriveAnon's 4chan Drive/2. EVERYONE ELSE'S JUMPS/1. Complete with images</v>
      </c>
    </row>
    <row r="1805">
      <c r="A1805" s="12" t="str">
        <f>HYPERLINK("https://drive.google.com/file/d/1UZ3Dh_iWY4PHxz93cmKWlNZJi8scgoJc/view?usp=drivesdk","Sunset Overdrive JumpChain.pdf")</f>
        <v>Sunset Overdrive JumpChain.pdf</v>
      </c>
      <c r="B1805" s="12" t="str">
        <f t="shared" si="192"/>
        <v>DriveAnon's 4chan Drive/2. EVERYONE ELSE'S JUMPS/1. Complete with images</v>
      </c>
    </row>
    <row r="1806">
      <c r="A1806" s="12" t="str">
        <f>HYPERLINK("https://drive.google.com/file/d/1VLzePhu9w6JL1SlG2poxyunkAJgMR_Za/view?usp=drivesdk","Homeworld JumpChain.pdf")</f>
        <v>Homeworld JumpChain.pdf</v>
      </c>
      <c r="B1806" s="12" t="str">
        <f t="shared" si="192"/>
        <v>DriveAnon's 4chan Drive/2. EVERYONE ELSE'S JUMPS/1. Complete with images</v>
      </c>
    </row>
    <row r="1807">
      <c r="A1807" s="12" t="str">
        <f>HYPERLINK("https://drive.google.com/file/d/1X7c9h4d3lLN34Pz0AO_R6P1Xgp3tR_8Y/view?usp=drivesdk","Horror Movies JumpChain.pdf")</f>
        <v>Horror Movies JumpChain.pdf</v>
      </c>
      <c r="B1807" s="12" t="str">
        <f t="shared" si="192"/>
        <v>DriveAnon's 4chan Drive/2. EVERYONE ELSE'S JUMPS/1. Complete with images</v>
      </c>
    </row>
    <row r="1808">
      <c r="A1808" s="12" t="str">
        <f>HYPERLINK("https://drive.google.com/file/d/1ZdhCl4ClpDK-DgH2DH8dK4JlQdxH1yIa/view?usp=drivesdk","Strike Witches Jumpchain CYOA 1.04.pdf")</f>
        <v>Strike Witches Jumpchain CYOA 1.04.pdf</v>
      </c>
      <c r="B1808" s="12" t="str">
        <f t="shared" si="192"/>
        <v>DriveAnon's 4chan Drive/2. EVERYONE ELSE'S JUMPS/1. Complete with images</v>
      </c>
    </row>
    <row r="1809">
      <c r="A1809" s="12" t="str">
        <f>HYPERLINK("https://drive.google.com/file/d/1_mcDz0htDPXU8Zb3sfYMFunAn0B7c3--/view?usp=drivesdk","They Live JumpChain.pdf")</f>
        <v>They Live JumpChain.pdf</v>
      </c>
      <c r="B1809" s="12" t="str">
        <f t="shared" si="192"/>
        <v>DriveAnon's 4chan Drive/2. EVERYONE ELSE'S JUMPS/1. Complete with images</v>
      </c>
    </row>
    <row r="1810">
      <c r="A1810" s="12" t="str">
        <f>HYPERLINK("https://drive.google.com/file/d/1aeIk4h-ux__AQ8igftJX3To5ENnUWD5t/view?usp=drivesdk","Remember Me JumpChain.pdf")</f>
        <v>Remember Me JumpChain.pdf</v>
      </c>
      <c r="B1810" s="12" t="str">
        <f t="shared" si="192"/>
        <v>DriveAnon's 4chan Drive/2. EVERYONE ELSE'S JUMPS/1. Complete with images</v>
      </c>
    </row>
    <row r="1811">
      <c r="A1811" s="12" t="str">
        <f>HYPERLINK("https://drive.google.com/file/d/1cmiVP_CAZR5A0zW_KxGTMXavVvIQPN5Q/view?usp=drivesdk","Cyber Knight JumpChain.pdf")</f>
        <v>Cyber Knight JumpChain.pdf</v>
      </c>
      <c r="B1811" s="12" t="str">
        <f t="shared" si="192"/>
        <v>DriveAnon's 4chan Drive/2. EVERYONE ELSE'S JUMPS/1. Complete with images</v>
      </c>
    </row>
    <row r="1812">
      <c r="A1812" s="12" t="str">
        <f>HYPERLINK("https://drive.google.com/file/d/1f7g5N0-8d7a1Dto5Q06aE85DQczdnrXQ/view?usp=drivesdk","Dungeon Siege 2 JumpChain.pdf")</f>
        <v>Dungeon Siege 2 JumpChain.pdf</v>
      </c>
      <c r="B1812" s="12" t="str">
        <f t="shared" si="192"/>
        <v>DriveAnon's 4chan Drive/2. EVERYONE ELSE'S JUMPS/1. Complete with images</v>
      </c>
    </row>
    <row r="1813">
      <c r="A1813" s="12" t="str">
        <f>HYPERLINK("https://drive.google.com/file/d/1i7kChFVr8yQeEZjR8ZfM_NtaxxuaVELu/view?usp=drivesdk","Kill La Kill JumpChain.pdf")</f>
        <v>Kill La Kill JumpChain.pdf</v>
      </c>
      <c r="B1813" s="12" t="str">
        <f t="shared" si="192"/>
        <v>DriveAnon's 4chan Drive/2. EVERYONE ELSE'S JUMPS/1. Complete with images</v>
      </c>
    </row>
    <row r="1814">
      <c r="A1814" s="12" t="str">
        <f>HYPERLINK("https://drive.google.com/file/d/1ildRGj531j4-w0rpef-WrBXZEmL-tuQK/view?usp=drivesdk","Age of Mythology JumpChain.pdf")</f>
        <v>Age of Mythology JumpChain.pdf</v>
      </c>
      <c r="B1814" s="12" t="str">
        <f t="shared" si="192"/>
        <v>DriveAnon's 4chan Drive/2. EVERYONE ELSE'S JUMPS/1. Complete with images</v>
      </c>
    </row>
    <row r="1815">
      <c r="A1815" s="12" t="str">
        <f>HYPERLINK("https://drive.google.com/file/d/1nnSzg8d891LOF-n__52FPR1K3raFXkEY/view?usp=drivesdk","Spyro the Dragon JumpChain.pdf")</f>
        <v>Spyro the Dragon JumpChain.pdf</v>
      </c>
      <c r="B1815" s="12" t="str">
        <f t="shared" si="192"/>
        <v>DriveAnon's 4chan Drive/2. EVERYONE ELSE'S JUMPS/1. Complete with images</v>
      </c>
    </row>
    <row r="1816">
      <c r="A1816" s="12" t="str">
        <f>HYPERLINK("https://drive.google.com/file/d/1wZ15RGDbE221h-iUdJqx_EAqvK1Kzezq/view?usp=drivesdk","A Certain Scientific Railgun JumpChain.pdf")</f>
        <v>A Certain Scientific Railgun JumpChain.pdf</v>
      </c>
      <c r="B1816" s="12" t="str">
        <f t="shared" si="192"/>
        <v>DriveAnon's 4chan Drive/2. EVERYONE ELSE'S JUMPS/1. Complete with images</v>
      </c>
    </row>
    <row r="1817">
      <c r="A1817" s="12" t="str">
        <f>HYPERLINK("https://drive.google.com/file/d/1yDK3GeVgMRE4_qHeroetCZjmIt8NKuyp/view?usp=drivesdk","Anima Beyond Fantasy JumpChain.pdf")</f>
        <v>Anima Beyond Fantasy JumpChain.pdf</v>
      </c>
      <c r="B1817" s="12" t="str">
        <f t="shared" si="192"/>
        <v>DriveAnon's 4chan Drive/2. EVERYONE ELSE'S JUMPS/1. Complete with images</v>
      </c>
    </row>
    <row r="1818">
      <c r="A1818" s="12" t="str">
        <f>HYPERLINK("https://drive.google.com/file/d/12agOhI1kZq2E0zySISbihRRdk5MdTTy-/view?usp=drivesdk","Mount and Blade JumpChain.pdf")</f>
        <v>Mount and Blade JumpChain.pdf</v>
      </c>
      <c r="B1818" s="12" t="str">
        <f t="shared" si="192"/>
        <v>DriveAnon's 4chan Drive/2. EVERYONE ELSE'S JUMPS/1. Complete with images</v>
      </c>
    </row>
    <row r="1819">
      <c r="A1819" s="12" t="str">
        <f>HYPERLINK("https://drive.google.com/file/d/13NS8rsC_BM1r9p9gXjv3mFlM38QKLH48/view?usp=drivesdk","Dota 2 JumpChain.pdf")</f>
        <v>Dota 2 JumpChain.pdf</v>
      </c>
      <c r="B1819" s="12" t="str">
        <f t="shared" si="192"/>
        <v>DriveAnon's 4chan Drive/2. EVERYONE ELSE'S JUMPS/1. Complete with images</v>
      </c>
    </row>
    <row r="1820">
      <c r="A1820" s="12" t="str">
        <f>HYPERLINK("https://drive.google.com/file/d/15xC86aJKaK1V_L1xqbKU7UzgV3s1Oqpr/view?usp=drivesdk","Panty _ Stocking with Garterbelt JumpChain.pdf")</f>
        <v>Panty _ Stocking with Garterbelt JumpChain.pdf</v>
      </c>
      <c r="B1820" s="12" t="str">
        <f t="shared" si="192"/>
        <v>DriveAnon's 4chan Drive/2. EVERYONE ELSE'S JUMPS/1. Complete with images</v>
      </c>
    </row>
    <row r="1821">
      <c r="A1821" s="12" t="str">
        <f>HYPERLINK("https://drive.google.com/file/d/1QpQIqP70odyWLtUMlYnMNrn2szunilR4/view?usp=drivesdk","Stranger Things JumpChain.pdf")</f>
        <v>Stranger Things JumpChain.pdf</v>
      </c>
      <c r="B1821" s="12" t="str">
        <f t="shared" si="192"/>
        <v>DriveAnon's 4chan Drive/2. EVERYONE ELSE'S JUMPS/1. Complete with images</v>
      </c>
    </row>
    <row r="1822">
      <c r="A1822" s="12" t="str">
        <f>HYPERLINK("https://drive.google.com/file/d/1RtuCAsTQ6Vuy-1RAYaCrIVoBejIiHGIC/view?usp=drivesdk","Alien vs Predator JumpChain.pdf")</f>
        <v>Alien vs Predator JumpChain.pdf</v>
      </c>
      <c r="B1822" s="12" t="str">
        <f t="shared" si="192"/>
        <v>DriveAnon's 4chan Drive/2. EVERYONE ELSE'S JUMPS/1. Complete with images</v>
      </c>
    </row>
    <row r="1823">
      <c r="A1823" s="12" t="str">
        <f>HYPERLINK("https://drive.google.com/file/d/1Yf9bdkvVmT57rwugxOaezh24YMH5vOBw/view?usp=drivesdk","Iji Jumpchain.pdf")</f>
        <v>Iji Jumpchain.pdf</v>
      </c>
      <c r="B1823" s="12" t="str">
        <f t="shared" si="192"/>
        <v>DriveAnon's 4chan Drive/2. EVERYONE ELSE'S JUMPS/1. Complete with images</v>
      </c>
    </row>
    <row r="1824">
      <c r="A1824" s="12" t="str">
        <f>HYPERLINK("https://drive.google.com/file/d/1aJN9gwA81U57-rSOOxkfzl0idHM0x02Q/view?usp=drivesdk","Touken Ranbu JumpChain.pdf")</f>
        <v>Touken Ranbu JumpChain.pdf</v>
      </c>
      <c r="B1824" s="12" t="str">
        <f t="shared" si="192"/>
        <v>DriveAnon's 4chan Drive/2. EVERYONE ELSE'S JUMPS/1. Complete with images</v>
      </c>
    </row>
    <row r="1825">
      <c r="A1825" s="12" t="str">
        <f>HYPERLINK("https://drive.google.com/file/d/1ccFWZLgVdhWQ4aq-d4rmTeTWXhDPaH5A/view?usp=drivesdk","Battletech JumpChain.pdf")</f>
        <v>Battletech JumpChain.pdf</v>
      </c>
      <c r="B1825" s="12" t="str">
        <f t="shared" si="192"/>
        <v>DriveAnon's 4chan Drive/2. EVERYONE ELSE'S JUMPS/1. Complete with images</v>
      </c>
    </row>
    <row r="1826">
      <c r="A1826" s="12" t="str">
        <f>HYPERLINK("https://drive.google.com/file/d/1eeJEP4qqX9urOkXbKuaPJzdYegCfHmz3/view?usp=drivesdk","Muppet Treasure Island JumpChain.pdf")</f>
        <v>Muppet Treasure Island JumpChain.pdf</v>
      </c>
      <c r="B1826" s="12" t="str">
        <f t="shared" si="192"/>
        <v>DriveAnon's 4chan Drive/2. EVERYONE ELSE'S JUMPS/1. Complete with images</v>
      </c>
    </row>
    <row r="1827">
      <c r="A1827" s="12" t="str">
        <f>HYPERLINK("https://drive.google.com/file/d/1hBXw2fzrBdjIw-ZVSu8Qc1DUSOLDGIGt/view?usp=drivesdk","Homeworld Deserts of Kharak JumpChain.pdf")</f>
        <v>Homeworld Deserts of Kharak JumpChain.pdf</v>
      </c>
      <c r="B1827" s="12" t="str">
        <f t="shared" si="192"/>
        <v>DriveAnon's 4chan Drive/2. EVERYONE ELSE'S JUMPS/1. Complete with images</v>
      </c>
    </row>
    <row r="1828">
      <c r="A1828" s="12" t="str">
        <f>HYPERLINK("https://drive.google.com/file/d/1tsIA3WY8NGe67ySKus3aRteYm0zX8OTX/view?usp=drivesdk","Skies of Arcadia JumpChain.pdf")</f>
        <v>Skies of Arcadia JumpChain.pdf</v>
      </c>
      <c r="B1828" s="12" t="str">
        <f t="shared" si="192"/>
        <v>DriveAnon's 4chan Drive/2. EVERYONE ELSE'S JUMPS/1. Complete with images</v>
      </c>
    </row>
    <row r="1829">
      <c r="A1829" s="12" t="str">
        <f>HYPERLINK("https://drive.google.com/file/d/1w5z8zOxqluzqy5gVgmAd_X7l4ndeHgQN/view?usp=drivesdk","Bone JumpChain.pdf")</f>
        <v>Bone JumpChain.pdf</v>
      </c>
      <c r="B1829" s="12" t="str">
        <f t="shared" si="192"/>
        <v>DriveAnon's 4chan Drive/2. EVERYONE ELSE'S JUMPS/1. Complete with images</v>
      </c>
    </row>
    <row r="1830">
      <c r="A1830" s="12" t="str">
        <f>HYPERLINK("https://drive.google.com/file/d/1xsgFO7HV34Nv4xTNwy2jjLo_53d7XKQ0/view?usp=drivesdk","BROFORCE! JumpChain.pdf")</f>
        <v>BROFORCE! JumpChain.pdf</v>
      </c>
      <c r="B1830" s="12" t="str">
        <f t="shared" si="192"/>
        <v>DriveAnon's 4chan Drive/2. EVERYONE ELSE'S JUMPS/1. Complete with images</v>
      </c>
    </row>
    <row r="1831">
      <c r="A1831" s="12" t="str">
        <f>HYPERLINK("https://drive.google.com/file/d/1190zrmjRZwD8jRvZnIAVBXXI4vE8wiZ_/view?usp=drivesdk","DREDD JumpChain.pdf")</f>
        <v>DREDD JumpChain.pdf</v>
      </c>
      <c r="B1831" s="12" t="str">
        <f t="shared" si="192"/>
        <v>DriveAnon's 4chan Drive/2. EVERYONE ELSE'S JUMPS/1. Complete with images</v>
      </c>
    </row>
    <row r="1832">
      <c r="A1832" s="12" t="str">
        <f>HYPERLINK("https://drive.google.com/file/d/16bmb6rmuvKoAHFA8Cb00MNIW77InODSP/view?usp=drivesdk","Soul Calibur Jumpchain.pdf")</f>
        <v>Soul Calibur Jumpchain.pdf</v>
      </c>
      <c r="B1832" s="12" t="str">
        <f t="shared" si="192"/>
        <v>DriveAnon's 4chan Drive/2. EVERYONE ELSE'S JUMPS/1. Complete with images</v>
      </c>
    </row>
    <row r="1833">
      <c r="A1833" s="12" t="str">
        <f>HYPERLINK("https://drive.google.com/file/d/17x3jPVpmg0BA9XEWH94cdYA_QyRo7_4o/view?usp=drivesdk","Kid Radd JumpChain.pdf")</f>
        <v>Kid Radd JumpChain.pdf</v>
      </c>
      <c r="B1833" s="12" t="str">
        <f t="shared" si="192"/>
        <v>DriveAnon's 4chan Drive/2. EVERYONE ELSE'S JUMPS/1. Complete with images</v>
      </c>
    </row>
    <row r="1834">
      <c r="A1834" s="12" t="str">
        <f>HYPERLINK("https://drive.google.com/file/d/198-KKRXs4yqYemq6ZoAJzV1SSn1B_1AJ/view?usp=drivesdk","Madness Combat JumpChain.pdf")</f>
        <v>Madness Combat JumpChain.pdf</v>
      </c>
      <c r="B1834" s="12" t="str">
        <f t="shared" si="192"/>
        <v>DriveAnon's 4chan Drive/2. EVERYONE ELSE'S JUMPS/1. Complete with images</v>
      </c>
    </row>
    <row r="1835">
      <c r="A1835" s="12" t="str">
        <f>HYPERLINK("https://drive.google.com/file/d/198ubIafnML5Z_0KBZSjX6mfggYCNKL8-/view?usp=drivesdk","CortexCommand JumpChain.pdf")</f>
        <v>CortexCommand JumpChain.pdf</v>
      </c>
      <c r="B1835" s="12" t="str">
        <f t="shared" si="192"/>
        <v>DriveAnon's 4chan Drive/2. EVERYONE ELSE'S JUMPS/1. Complete with images</v>
      </c>
    </row>
    <row r="1836">
      <c r="A1836" s="12" t="str">
        <f>HYPERLINK("https://drive.google.com/file/d/1BCNbKV-5DAmOa0ZFnfWdbHRvFPtcUeG_/view?usp=drivesdk","Mermaid Melody Pichi Pichi Pitch JumpChain.pdf")</f>
        <v>Mermaid Melody Pichi Pichi Pitch JumpChain.pdf</v>
      </c>
      <c r="B1836" s="12" t="str">
        <f t="shared" si="192"/>
        <v>DriveAnon's 4chan Drive/2. EVERYONE ELSE'S JUMPS/1. Complete with images</v>
      </c>
    </row>
    <row r="1837">
      <c r="A1837" s="12" t="str">
        <f>HYPERLINK("https://drive.google.com/file/d/1EwVaVIhmSaUJKOaxtaI2DHthvmd8---_/view?usp=drivesdk","The King_s Avatar JumpChain.pdf")</f>
        <v>The King_s Avatar JumpChain.pdf</v>
      </c>
      <c r="B1837" s="12" t="str">
        <f t="shared" si="192"/>
        <v>DriveAnon's 4chan Drive/2. EVERYONE ELSE'S JUMPS/1. Complete with images</v>
      </c>
    </row>
    <row r="1838">
      <c r="A1838" s="12" t="str">
        <f>HYPERLINK("https://drive.google.com/file/d/1EzMjDhMQfpfvI_-8fufmkQZ1OI6p9ca-/view?usp=drivesdk","Inuyasha JumpChain.pdf")</f>
        <v>Inuyasha JumpChain.pdf</v>
      </c>
      <c r="B1838" s="12" t="str">
        <f t="shared" si="192"/>
        <v>DriveAnon's 4chan Drive/2. EVERYONE ELSE'S JUMPS/1. Complete with images</v>
      </c>
    </row>
    <row r="1839">
      <c r="A1839" s="12" t="str">
        <f>HYPERLINK("https://drive.google.com/file/d/1FLwuS2v4r0NDKsNzb-dN5gXsmFftl9uw/view?usp=drivesdk","Rick And Morty JumpChain.pdf")</f>
        <v>Rick And Morty JumpChain.pdf</v>
      </c>
      <c r="B1839" s="12" t="str">
        <f t="shared" si="192"/>
        <v>DriveAnon's 4chan Drive/2. EVERYONE ELSE'S JUMPS/1. Complete with images</v>
      </c>
    </row>
    <row r="1840">
      <c r="A1840" s="12" t="str">
        <f>HYPERLINK("https://drive.google.com/file/d/1HIyv25BFhR1-eHdfGk2vHRA7PA8Ahldw/view?usp=drivesdk","Kubo and the Two Strings JumpChain.pdf")</f>
        <v>Kubo and the Two Strings JumpChain.pdf</v>
      </c>
      <c r="B1840" s="12" t="str">
        <f t="shared" si="192"/>
        <v>DriveAnon's 4chan Drive/2. EVERYONE ELSE'S JUMPS/1. Complete with images</v>
      </c>
    </row>
    <row r="1841">
      <c r="A1841" s="12" t="str">
        <f>HYPERLINK("https://drive.google.com/file/d/1Jfcl523mOA7hYZv-Oq8jdxdggSUv3PHW/view?usp=drivesdk","Labyrinth JumpChain.pdf")</f>
        <v>Labyrinth JumpChain.pdf</v>
      </c>
      <c r="B1841" s="12" t="str">
        <f t="shared" si="192"/>
        <v>DriveAnon's 4chan Drive/2. EVERYONE ELSE'S JUMPS/1. Complete with images</v>
      </c>
    </row>
    <row r="1842">
      <c r="A1842" s="12" t="str">
        <f>HYPERLINK("https://drive.google.com/file/d/1Oet4Zg4mJevqUSsm3mglI9DE_2Fv-gQv/view?usp=drivesdk","The Emoji Movie JumpChain.pdf")</f>
        <v>The Emoji Movie JumpChain.pdf</v>
      </c>
      <c r="B1842" s="12" t="str">
        <f t="shared" si="192"/>
        <v>DriveAnon's 4chan Drive/2. EVERYONE ELSE'S JUMPS/1. Complete with images</v>
      </c>
    </row>
    <row r="1843">
      <c r="A1843" s="12" t="str">
        <f>HYPERLINK("https://drive.google.com/file/d/1P9BI3N9XaZThCWOflIwDDMTdc0DM0jIS/view?usp=drivesdk","Kingsman JumpChain.pdf")</f>
        <v>Kingsman JumpChain.pdf</v>
      </c>
      <c r="B1843" s="12" t="str">
        <f t="shared" si="192"/>
        <v>DriveAnon's 4chan Drive/2. EVERYONE ELSE'S JUMPS/1. Complete with images</v>
      </c>
    </row>
    <row r="1844">
      <c r="A1844" s="12" t="str">
        <f>HYPERLINK("https://drive.google.com/file/d/1QTBPkiUYp3QEO00sWVtBK7Wk8aQREwMa/view?usp=drivesdk","Vanquish JumpChain.pdf")</f>
        <v>Vanquish JumpChain.pdf</v>
      </c>
      <c r="B1844" s="12" t="str">
        <f t="shared" si="192"/>
        <v>DriveAnon's 4chan Drive/2. EVERYONE ELSE'S JUMPS/1. Complete with images</v>
      </c>
    </row>
    <row r="1845">
      <c r="A1845" s="12" t="str">
        <f>HYPERLINK("https://drive.google.com/file/d/1T4uHIYlQvKPJSVXgDDgPQ2VgvdleGISA/view?usp=drivesdk","Ark Survival Evolved JumpChain.pdf")</f>
        <v>Ark Survival Evolved JumpChain.pdf</v>
      </c>
      <c r="B1845" s="12" t="str">
        <f t="shared" si="192"/>
        <v>DriveAnon's 4chan Drive/2. EVERYONE ELSE'S JUMPS/1. Complete with images</v>
      </c>
    </row>
    <row r="1846">
      <c r="A1846" s="12" t="str">
        <f>HYPERLINK("https://drive.google.com/file/d/1XM4A-IL7TTVRR1Fi6OgG9ITYuBySMYdF/view?usp=drivesdk","Yoshi Island JumpChain.pdf")</f>
        <v>Yoshi Island JumpChain.pdf</v>
      </c>
      <c r="B1846" s="12" t="str">
        <f t="shared" si="192"/>
        <v>DriveAnon's 4chan Drive/2. EVERYONE ELSE'S JUMPS/1. Complete with images</v>
      </c>
    </row>
    <row r="1847">
      <c r="A1847" s="12" t="str">
        <f>HYPERLINK("https://drive.google.com/file/d/1XRyqE072zcmFGFuSn5Eq11wnbPayBFkc/view?usp=drivesdk","Gone Series JumpChain.pdf")</f>
        <v>Gone Series JumpChain.pdf</v>
      </c>
      <c r="B1847" s="12" t="str">
        <f t="shared" si="192"/>
        <v>DriveAnon's 4chan Drive/2. EVERYONE ELSE'S JUMPS/1. Complete with images</v>
      </c>
    </row>
    <row r="1848">
      <c r="A1848" s="12" t="str">
        <f>HYPERLINK("https://drive.google.com/file/d/1XYchR9qtbX_axzXROUOTgalz2enYRhSZ/view?usp=drivesdk","Sailor Moon JumpChain.pdf")</f>
        <v>Sailor Moon JumpChain.pdf</v>
      </c>
      <c r="B1848" s="12" t="str">
        <f t="shared" si="192"/>
        <v>DriveAnon's 4chan Drive/2. EVERYONE ELSE'S JUMPS/1. Complete with images</v>
      </c>
    </row>
    <row r="1849">
      <c r="A1849" s="12" t="str">
        <f>HYPERLINK("https://drive.google.com/file/d/1_olwh5Q2_9y2raa6gupoKqfBgZ-LX9xY/view?usp=drivesdk","Yuki Yuna is a Hero JumpChain.pdf")</f>
        <v>Yuki Yuna is a Hero JumpChain.pdf</v>
      </c>
      <c r="B1849" s="12" t="str">
        <f t="shared" si="192"/>
        <v>DriveAnon's 4chan Drive/2. EVERYONE ELSE'S JUMPS/1. Complete with images</v>
      </c>
    </row>
    <row r="1850">
      <c r="A1850" s="12" t="str">
        <f>HYPERLINK("https://drive.google.com/file/d/1cm0lD5ckCnBmc9UnL2CdDHZQJAGha_er/view?usp=drivesdk","Banner Saga JumpChain.pdf")</f>
        <v>Banner Saga JumpChain.pdf</v>
      </c>
      <c r="B1850" s="12" t="str">
        <f t="shared" si="192"/>
        <v>DriveAnon's 4chan Drive/2. EVERYONE ELSE'S JUMPS/1. Complete with images</v>
      </c>
    </row>
    <row r="1851">
      <c r="A1851" s="12" t="str">
        <f>HYPERLINK("https://drive.google.com/file/d/1e3MXFj-QUx9hbp5lU6sLTTXCLR9-8pjw/view?usp=drivesdk","Wadanohara and the Great Blue Sea JumpChain.pdf")</f>
        <v>Wadanohara and the Great Blue Sea JumpChain.pdf</v>
      </c>
      <c r="B1851" s="12" t="str">
        <f t="shared" si="192"/>
        <v>DriveAnon's 4chan Drive/2. EVERYONE ELSE'S JUMPS/1. Complete with images</v>
      </c>
    </row>
    <row r="1852">
      <c r="A1852" s="12" t="str">
        <f>HYPERLINK("https://drive.google.com/file/d/1g5qBG5SIhnCEWZNO9mFswBKgLpP4dqYK/view?usp=drivesdk","Ride to Hell - Retribution JumpChain.pdf")</f>
        <v>Ride to Hell - Retribution JumpChain.pdf</v>
      </c>
      <c r="B1852" s="12" t="str">
        <f t="shared" si="192"/>
        <v>DriveAnon's 4chan Drive/2. EVERYONE ELSE'S JUMPS/1. Complete with images</v>
      </c>
    </row>
    <row r="1853">
      <c r="A1853" s="12" t="str">
        <f>HYPERLINK("https://drive.google.com/file/d/1hqyoMdnwKDNWTUyhnN8yGCyY71qdMr-8/view?usp=drivesdk","Age Of Wonders Jumpchain.pdf")</f>
        <v>Age Of Wonders Jumpchain.pdf</v>
      </c>
      <c r="B1853" s="12" t="str">
        <f t="shared" si="192"/>
        <v>DriveAnon's 4chan Drive/2. EVERYONE ELSE'S JUMPS/1. Complete with images</v>
      </c>
    </row>
    <row r="1854">
      <c r="A1854" s="12" t="str">
        <f>HYPERLINK("https://drive.google.com/file/d/1iiFE1vSGLwYWop7t78bYuyQQlvLZWrAV/view?usp=drivesdk","Legend of the Galactic Heroes JumpChain.pdf")</f>
        <v>Legend of the Galactic Heroes JumpChain.pdf</v>
      </c>
      <c r="B1854" s="12" t="str">
        <f t="shared" si="192"/>
        <v>DriveAnon's 4chan Drive/2. EVERYONE ELSE'S JUMPS/1. Complete with images</v>
      </c>
    </row>
    <row r="1855">
      <c r="A1855" s="12" t="str">
        <f>HYPERLINK("https://drive.google.com/file/d/1j89PiY6DEDOEyS_91o3fk37uEGythJ7B/view?usp=drivesdk","Dragon_s Crown JumpChain.pdf")</f>
        <v>Dragon_s Crown JumpChain.pdf</v>
      </c>
      <c r="B1855" s="12" t="str">
        <f t="shared" si="192"/>
        <v>DriveAnon's 4chan Drive/2. EVERYONE ELSE'S JUMPS/1. Complete with images</v>
      </c>
    </row>
    <row r="1856">
      <c r="A1856" s="12" t="str">
        <f>HYPERLINK("https://drive.google.com/file/d/1kNISb5TjmTlqw-7Rs25bER0tOBuMp-qj/view?usp=drivesdk","Nechronica JumpChain.pdf")</f>
        <v>Nechronica JumpChain.pdf</v>
      </c>
      <c r="B1856" s="12" t="str">
        <f t="shared" si="192"/>
        <v>DriveAnon's 4chan Drive/2. EVERYONE ELSE'S JUMPS/1. Complete with images</v>
      </c>
    </row>
    <row r="1857">
      <c r="A1857" s="12" t="str">
        <f>HYPERLINK("https://drive.google.com/file/d/1ljvbrcZjhDtx91dO96yFcgK_X1AJTLGy/view?usp=drivesdk","Black Bullet JumpChain.pdf")</f>
        <v>Black Bullet JumpChain.pdf</v>
      </c>
      <c r="B1857" s="12" t="str">
        <f t="shared" si="192"/>
        <v>DriveAnon's 4chan Drive/2. EVERYONE ELSE'S JUMPS/1. Complete with images</v>
      </c>
    </row>
    <row r="1858">
      <c r="A1858" s="12" t="str">
        <f>HYPERLINK("https://drive.google.com/file/d/1mHB3Xe-mRnQGdw1smnaBMIK-MH7UGFz9/view?usp=drivesdk","The Great Muppet Caper JumpChain.pdf")</f>
        <v>The Great Muppet Caper JumpChain.pdf</v>
      </c>
      <c r="B1858" s="12" t="str">
        <f t="shared" si="192"/>
        <v>DriveAnon's 4chan Drive/2. EVERYONE ELSE'S JUMPS/1. Complete with images</v>
      </c>
    </row>
    <row r="1859">
      <c r="A1859" s="12" t="str">
        <f>HYPERLINK("https://drive.google.com/file/d/1puCdp8hRPpfUgp8OzsARIh8Ramru2qyU/view?usp=drivesdk","Doctor Who jumpchain.pdf")</f>
        <v>Doctor Who jumpchain.pdf</v>
      </c>
      <c r="B1859" s="12" t="str">
        <f t="shared" si="192"/>
        <v>DriveAnon's 4chan Drive/2. EVERYONE ELSE'S JUMPS/1. Complete with images</v>
      </c>
    </row>
    <row r="1860">
      <c r="A1860" s="12" t="str">
        <f>HYPERLINK("https://drive.google.com/file/d/1-iSif2kuzChJAZZaLjTL-S241ljuyErd/view?usp=drivesdk","The Division JumpChain.pdf")</f>
        <v>The Division JumpChain.pdf</v>
      </c>
      <c r="B1860" s="12" t="str">
        <f t="shared" si="192"/>
        <v>DriveAnon's 4chan Drive/2. EVERYONE ELSE'S JUMPS/1. Complete with images</v>
      </c>
    </row>
    <row r="1861">
      <c r="A1861" s="12" t="str">
        <f>HYPERLINK("https://drive.google.com/file/d/15B8MrUWAmJqBMg6qHhiYuheJPt2YLXeB/view?usp=drivesdk","Magico JumpChain.pdf")</f>
        <v>Magico JumpChain.pdf</v>
      </c>
      <c r="B1861" s="12" t="str">
        <f t="shared" si="192"/>
        <v>DriveAnon's 4chan Drive/2. EVERYONE ELSE'S JUMPS/1. Complete with images</v>
      </c>
    </row>
    <row r="1862">
      <c r="A1862" s="12" t="str">
        <f>HYPERLINK("https://drive.google.com/file/d/1C4Ndsih0E63ym2ZcVvMLL4potw8rvg-B/view?usp=drivesdk","A Song of Ice and Fire JumpChain.pdf")</f>
        <v>A Song of Ice and Fire JumpChain.pdf</v>
      </c>
      <c r="B1862" s="12" t="str">
        <f t="shared" si="192"/>
        <v>DriveAnon's 4chan Drive/2. EVERYONE ELSE'S JUMPS/1. Complete with images</v>
      </c>
    </row>
    <row r="1863">
      <c r="A1863" s="12" t="str">
        <f>HYPERLINK("https://drive.google.com/file/d/1Ce9CwJhe_irQXpovdIIFiV-fEMNup8xv/view?usp=drivesdk","Karakuri Douji Ultimo JumpChain.pdf")</f>
        <v>Karakuri Douji Ultimo JumpChain.pdf</v>
      </c>
      <c r="B1863" s="12" t="str">
        <f t="shared" si="192"/>
        <v>DriveAnon's 4chan Drive/2. EVERYONE ELSE'S JUMPS/1. Complete with images</v>
      </c>
    </row>
    <row r="1864">
      <c r="A1864" s="12" t="str">
        <f>HYPERLINK("https://drive.google.com/file/d/1D1mZ1FZlS8GZHBEb-pxwKsNCSGneB6Rq/view?usp=drivesdk","Demolition Man Jumpchain.pdf")</f>
        <v>Demolition Man Jumpchain.pdf</v>
      </c>
      <c r="B1864" s="12" t="str">
        <f t="shared" si="192"/>
        <v>DriveAnon's 4chan Drive/2. EVERYONE ELSE'S JUMPS/1. Complete with images</v>
      </c>
    </row>
    <row r="1865">
      <c r="A1865" s="12" t="str">
        <f>HYPERLINK("https://drive.google.com/file/d/1DuwGLQ4EpDz1AW-SZWV98OW_D6cg1cff/view?usp=drivesdk","Watchmen JumpChain.pdf")</f>
        <v>Watchmen JumpChain.pdf</v>
      </c>
      <c r="B1865" s="12" t="str">
        <f t="shared" si="192"/>
        <v>DriveAnon's 4chan Drive/2. EVERYONE ELSE'S JUMPS/1. Complete with images</v>
      </c>
    </row>
    <row r="1866">
      <c r="A1866" s="12" t="str">
        <f>HYPERLINK("https://drive.google.com/file/d/1LaghA1GeEJZTUh5A9ghX_DQVvHS6_Ej2/view?usp=drivesdk","Tamagotchi JumpChain.pdf")</f>
        <v>Tamagotchi JumpChain.pdf</v>
      </c>
      <c r="B1866" s="12" t="str">
        <f t="shared" si="192"/>
        <v>DriveAnon's 4chan Drive/2. EVERYONE ELSE'S JUMPS/1. Complete with images</v>
      </c>
    </row>
    <row r="1867">
      <c r="A1867" s="12" t="str">
        <f>HYPERLINK("https://drive.google.com/file/d/1NgHfMoybirGD4xl-6hYIY0wYs4X525td/view?usp=drivesdk","Oh My Sweet Alien JumpChain.pdf")</f>
        <v>Oh My Sweet Alien JumpChain.pdf</v>
      </c>
      <c r="B1867" s="12" t="str">
        <f t="shared" si="192"/>
        <v>DriveAnon's 4chan Drive/2. EVERYONE ELSE'S JUMPS/1. Complete with images</v>
      </c>
    </row>
    <row r="1868">
      <c r="A1868" s="12" t="str">
        <f>HYPERLINK("https://drive.google.com/file/d/1ORfYajmzQ_znoHGeN7WsKnVzOZu5Og5Z/view?usp=drivesdk","Penny Dreadful JumpChain.pdf")</f>
        <v>Penny Dreadful JumpChain.pdf</v>
      </c>
      <c r="B1868" s="12" t="str">
        <f t="shared" si="192"/>
        <v>DriveAnon's 4chan Drive/2. EVERYONE ELSE'S JUMPS/1. Complete with images</v>
      </c>
    </row>
    <row r="1869">
      <c r="A1869" s="12" t="str">
        <f>HYPERLINK("https://drive.google.com/file/d/1PxKRCJNNfJBHmlcwcqbJpNckCIW05ZSb/view?usp=drivesdk","True Lies JumpChain.pdf")</f>
        <v>True Lies JumpChain.pdf</v>
      </c>
      <c r="B1869" s="12" t="str">
        <f t="shared" si="192"/>
        <v>DriveAnon's 4chan Drive/2. EVERYONE ELSE'S JUMPS/1. Complete with images</v>
      </c>
    </row>
    <row r="1870">
      <c r="A1870" s="12" t="str">
        <f>HYPERLINK("https://drive.google.com/file/d/1RMcwTk9gVa6c83aTJ7ut-1o6qbMqUHTF/view?usp=drivesdk","The Mummy Trilogy JumpChain.pdf")</f>
        <v>The Mummy Trilogy JumpChain.pdf</v>
      </c>
      <c r="B1870" s="12" t="str">
        <f t="shared" si="192"/>
        <v>DriveAnon's 4chan Drive/2. EVERYONE ELSE'S JUMPS/1. Complete with images</v>
      </c>
    </row>
    <row r="1871">
      <c r="A1871" s="12" t="str">
        <f>HYPERLINK("https://drive.google.com/file/d/1SLf7qFl2y1RX2OURr_oWyxNWnQT9_tcI/view?usp=drivesdk","Hyperdimension Neptunia JumpChain.pdf")</f>
        <v>Hyperdimension Neptunia JumpChain.pdf</v>
      </c>
      <c r="B1871" s="12" t="str">
        <f t="shared" si="192"/>
        <v>DriveAnon's 4chan Drive/2. EVERYONE ELSE'S JUMPS/1. Complete with images</v>
      </c>
    </row>
    <row r="1872">
      <c r="A1872" s="12" t="str">
        <f>HYPERLINK("https://drive.google.com/file/d/1SQewtu9lHWzyDEWZ7re-lq7rLO-0TweI/view?usp=drivesdk","Momodora JumpChain.pdf")</f>
        <v>Momodora JumpChain.pdf</v>
      </c>
      <c r="B1872" s="12" t="str">
        <f t="shared" si="192"/>
        <v>DriveAnon's 4chan Drive/2. EVERYONE ELSE'S JUMPS/1. Complete with images</v>
      </c>
    </row>
    <row r="1873">
      <c r="A1873" s="12" t="str">
        <f>HYPERLINK("https://drive.google.com/file/d/1SVdr4t2KtsGz0JI8dpYVKWMCPR8XcZKL/view?usp=drivesdk","Diabolical JumpChain.pdf")</f>
        <v>Diabolical JumpChain.pdf</v>
      </c>
      <c r="B1873" s="12" t="str">
        <f t="shared" si="192"/>
        <v>DriveAnon's 4chan Drive/2. EVERYONE ELSE'S JUMPS/1. Complete with images</v>
      </c>
    </row>
    <row r="1874">
      <c r="A1874" s="12" t="str">
        <f>HYPERLINK("https://drive.google.com/file/d/1T5nu43MYDr1LESALXusMY6Z5uxEA5Mkq/view?usp=drivesdk","Maple Story JumpChain.pdf")</f>
        <v>Maple Story JumpChain.pdf</v>
      </c>
      <c r="B1874" s="12" t="str">
        <f t="shared" si="192"/>
        <v>DriveAnon's 4chan Drive/2. EVERYONE ELSE'S JUMPS/1. Complete with images</v>
      </c>
    </row>
    <row r="1875">
      <c r="A1875" s="12" t="str">
        <f>HYPERLINK("https://drive.google.com/file/d/1UQXphrwKLgN__0KPG0Jsr6FFcV79L-Sx/view?usp=drivesdk","The Iron Giant Jumpchain.pdf")</f>
        <v>The Iron Giant Jumpchain.pdf</v>
      </c>
      <c r="B1875" s="12" t="str">
        <f t="shared" si="192"/>
        <v>DriveAnon's 4chan Drive/2. EVERYONE ELSE'S JUMPS/1. Complete with images</v>
      </c>
    </row>
    <row r="1876">
      <c r="A1876" s="12" t="str">
        <f>HYPERLINK("https://drive.google.com/file/d/1V3rgZsJHr9FLZqRZSZGoBwcFA-ceUVkQ/view?usp=drivesdk","Sitcoms JumpChain.pdf")</f>
        <v>Sitcoms JumpChain.pdf</v>
      </c>
      <c r="B1876" s="12" t="str">
        <f t="shared" si="192"/>
        <v>DriveAnon's 4chan Drive/2. EVERYONE ELSE'S JUMPS/1. Complete with images</v>
      </c>
    </row>
    <row r="1877">
      <c r="A1877" s="12" t="str">
        <f>HYPERLINK("https://drive.google.com/file/d/1VAaGwoWoofo9i6flDKACRb77FwtvBDln/view?usp=drivesdk","Achron JumpChain.pdf")</f>
        <v>Achron JumpChain.pdf</v>
      </c>
      <c r="B1877" s="12" t="str">
        <f t="shared" si="192"/>
        <v>DriveAnon's 4chan Drive/2. EVERYONE ELSE'S JUMPS/1. Complete with images</v>
      </c>
    </row>
    <row r="1878">
      <c r="A1878" s="12" t="str">
        <f>HYPERLINK("https://drive.google.com/file/d/1VwebirhFrEid6C3nY_t4cPRWuMoFaNoT/view?usp=drivesdk","Spawn JumpChain.pdf")</f>
        <v>Spawn JumpChain.pdf</v>
      </c>
      <c r="B1878" s="12" t="str">
        <f t="shared" si="192"/>
        <v>DriveAnon's 4chan Drive/2. EVERYONE ELSE'S JUMPS/1. Complete with images</v>
      </c>
    </row>
    <row r="1879">
      <c r="A1879" s="12" t="str">
        <f>HYPERLINK("https://drive.google.com/file/d/1WH3ZEhyeSLqu3LctAG-UNblic6RBVoIB/view?usp=drivesdk","Archer JumpChain.pdf")</f>
        <v>Archer JumpChain.pdf</v>
      </c>
      <c r="B1879" s="12" t="str">
        <f t="shared" si="192"/>
        <v>DriveAnon's 4chan Drive/2. EVERYONE ELSE'S JUMPS/1. Complete with images</v>
      </c>
    </row>
    <row r="1880">
      <c r="A1880" s="12" t="str">
        <f>HYPERLINK("https://drive.google.com/file/d/1ZbZRYyJfbBOvtY8RWYmtoKvZWsP3cLCE/view?usp=drivesdk","One Last God Kubera JumpChain.pdf")</f>
        <v>One Last God Kubera JumpChain.pdf</v>
      </c>
      <c r="B1880" s="12" t="str">
        <f t="shared" si="192"/>
        <v>DriveAnon's 4chan Drive/2. EVERYONE ELSE'S JUMPS/1. Complete with images</v>
      </c>
    </row>
    <row r="1881">
      <c r="A1881" s="12" t="str">
        <f>HYPERLINK("https://drive.google.com/file/d/1_MFhJLUqBrq2IGInvTjzuWHZXESkooQI/view?usp=drivesdk","The Evil Dead JumpChain.pdf")</f>
        <v>The Evil Dead JumpChain.pdf</v>
      </c>
      <c r="B1881" s="12" t="str">
        <f t="shared" si="192"/>
        <v>DriveAnon's 4chan Drive/2. EVERYONE ELSE'S JUMPS/1. Complete with images</v>
      </c>
    </row>
    <row r="1882">
      <c r="A1882" s="12" t="str">
        <f>HYPERLINK("https://drive.google.com/file/d/1aCMeFwugke6QVyt_fqst9FWAe8mII9Fr/view?usp=drivesdk","Azur Lane JumpChain.pdf")</f>
        <v>Azur Lane JumpChain.pdf</v>
      </c>
      <c r="B1882" s="12" t="str">
        <f t="shared" si="192"/>
        <v>DriveAnon's 4chan Drive/2. EVERYONE ELSE'S JUMPS/1. Complete with images</v>
      </c>
    </row>
    <row r="1883">
      <c r="A1883" s="12" t="str">
        <f>HYPERLINK("https://drive.google.com/file/d/1c0nscGZg8tKpuoDiX4wqN5eff21a6_9c/view?usp=drivesdk","Lucha Underground JumpChain.pdf")</f>
        <v>Lucha Underground JumpChain.pdf</v>
      </c>
      <c r="B1883" s="12" t="str">
        <f t="shared" si="192"/>
        <v>DriveAnon's 4chan Drive/2. EVERYONE ELSE'S JUMPS/1. Complete with images</v>
      </c>
    </row>
    <row r="1884">
      <c r="A1884" s="12" t="str">
        <f>HYPERLINK("https://drive.google.com/file/d/1f7anjQcO627qXPS4zJDfXt0KGLYZxAHM/view?usp=drivesdk","The Hunger Games JumpChain.pdf")</f>
        <v>The Hunger Games JumpChain.pdf</v>
      </c>
      <c r="B1884" s="12" t="str">
        <f t="shared" si="192"/>
        <v>DriveAnon's 4chan Drive/2. EVERYONE ELSE'S JUMPS/1. Complete with images</v>
      </c>
    </row>
    <row r="1885">
      <c r="A1885" s="12" t="str">
        <f>HYPERLINK("https://drive.google.com/file/d/1gYKtio0u9mEIFLTNMf1SGF8_tun8SUHa/view?usp=drivesdk","Sketchbook JumpChain.pdf")</f>
        <v>Sketchbook JumpChain.pdf</v>
      </c>
      <c r="B1885" s="12" t="str">
        <f t="shared" si="192"/>
        <v>DriveAnon's 4chan Drive/2. EVERYONE ELSE'S JUMPS/1. Complete with images</v>
      </c>
    </row>
    <row r="1886">
      <c r="A1886" s="12" t="str">
        <f>HYPERLINK("https://drive.google.com/file/d/1hJIc_c7cplScndrbqcz9snLGdtlWprd6/view?usp=drivesdk","A STUDY IN EMERALD JumpChain.pdf")</f>
        <v>A STUDY IN EMERALD JumpChain.pdf</v>
      </c>
      <c r="B1886" s="12" t="str">
        <f t="shared" si="192"/>
        <v>DriveAnon's 4chan Drive/2. EVERYONE ELSE'S JUMPS/1. Complete with images</v>
      </c>
    </row>
    <row r="1887">
      <c r="A1887" s="12" t="str">
        <f>HYPERLINK("https://drive.google.com/file/d/1kueukAzIDBFZEHt7KhyjpezHt7hSQgw9/view?usp=drivesdk","Inglourius Basterds JumpChain.pdf")</f>
        <v>Inglourius Basterds JumpChain.pdf</v>
      </c>
      <c r="B1887" s="12" t="str">
        <f t="shared" si="192"/>
        <v>DriveAnon's 4chan Drive/2. EVERYONE ELSE'S JUMPS/1. Complete with images</v>
      </c>
    </row>
    <row r="1888">
      <c r="A1888" s="12" t="str">
        <f>HYPERLINK("https://drive.google.com/file/d/1lfjgBE3tq16miJ4eWqk89yN25GMTx9bS/view?usp=drivesdk","Bastard Bonds JumpChain.pdf")</f>
        <v>Bastard Bonds JumpChain.pdf</v>
      </c>
      <c r="B1888" s="12" t="str">
        <f t="shared" si="192"/>
        <v>DriveAnon's 4chan Drive/2. EVERYONE ELSE'S JUMPS/1. Complete with images</v>
      </c>
    </row>
    <row r="1889">
      <c r="A1889" s="12" t="str">
        <f>HYPERLINK("https://drive.google.com/file/d/1lwyq7Jp_BcMk7hWFMTqKFPMee1IjWHH-/view?usp=drivesdk","Robocop JumpChain.pdf")</f>
        <v>Robocop JumpChain.pdf</v>
      </c>
      <c r="B1889" s="12" t="str">
        <f t="shared" si="192"/>
        <v>DriveAnon's 4chan Drive/2. EVERYONE ELSE'S JUMPS/1. Complete with images</v>
      </c>
    </row>
    <row r="1890">
      <c r="A1890" s="12" t="str">
        <f>HYPERLINK("https://drive.google.com/file/d/1o3shdG4eMKFX8bTP5b6xcOE06K5zQw6V/view?usp=drivesdk","Farethere City JumpChain.pdf")</f>
        <v>Farethere City JumpChain.pdf</v>
      </c>
      <c r="B1890" s="12" t="str">
        <f t="shared" si="192"/>
        <v>DriveAnon's 4chan Drive/2. EVERYONE ELSE'S JUMPS/1. Complete with images</v>
      </c>
    </row>
    <row r="1891">
      <c r="A1891" s="12" t="str">
        <f>HYPERLINK("https://drive.google.com/file/d/1opKurUClA04SAenK0GnfiGOFjR4vGakh/view?usp=drivesdk","Transistor JumpChain.pdf")</f>
        <v>Transistor JumpChain.pdf</v>
      </c>
      <c r="B1891" s="12" t="str">
        <f t="shared" si="192"/>
        <v>DriveAnon's 4chan Drive/2. EVERYONE ELSE'S JUMPS/1. Complete with images</v>
      </c>
    </row>
    <row r="1892">
      <c r="A1892" s="12" t="str">
        <f>HYPERLINK("https://drive.google.com/file/d/1uS-hli5O9zIHzi4RHAhPRrJJQ-ZoItLL/view?usp=drivesdk","Devilman Crybaby JumpChain.pdf")</f>
        <v>Devilman Crybaby JumpChain.pdf</v>
      </c>
      <c r="B1892" s="12" t="str">
        <f t="shared" si="192"/>
        <v>DriveAnon's 4chan Drive/2. EVERYONE ELSE'S JUMPS/1. Complete with images</v>
      </c>
    </row>
    <row r="1893">
      <c r="A1893" s="12" t="str">
        <f>HYPERLINK("https://drive.google.com/file/d/1x3EcB21F4zo4OYgFvD1-aV4LlpJYNTPu/view?usp=drivesdk","Venture Bros JumpChain.pdf")</f>
        <v>Venture Bros JumpChain.pdf</v>
      </c>
      <c r="B1893" s="12" t="str">
        <f t="shared" si="192"/>
        <v>DriveAnon's 4chan Drive/2. EVERYONE ELSE'S JUMPS/1. Complete with images</v>
      </c>
    </row>
    <row r="1894">
      <c r="A1894" s="12" t="str">
        <f>HYPERLINK("https://drive.google.com/file/d/1zTdPnFqtfqORQ6VQ4gFVhDMbB4uAAuTB/view?usp=drivesdk","Bloons JumpChain.pdf")</f>
        <v>Bloons JumpChain.pdf</v>
      </c>
      <c r="B1894" s="12" t="str">
        <f t="shared" si="192"/>
        <v>DriveAnon's 4chan Drive/2. EVERYONE ELSE'S JUMPS/1. Complete with images</v>
      </c>
    </row>
    <row r="1895">
      <c r="A1895" s="12" t="str">
        <f>HYPERLINK("https://drive.google.com/file/d/1-Uy_v7kJE_wOKPAp7b-l6lB7sEWyDLzW/view?usp=drivesdk","Katekyou Hitman Reborn JumpChain.pdf")</f>
        <v>Katekyou Hitman Reborn JumpChain.pdf</v>
      </c>
      <c r="B1895" s="12" t="str">
        <f t="shared" si="192"/>
        <v>DriveAnon's 4chan Drive/2. EVERYONE ELSE'S JUMPS/1. Complete with images</v>
      </c>
    </row>
    <row r="1896">
      <c r="A1896" s="12" t="str">
        <f>HYPERLINK("https://drive.google.com/file/d/14rVDEMWfuphFUVnh3CmyzSkY0D-G0m4H/view?usp=drivesdk","The Miskatonic JumpChain.pdf")</f>
        <v>The Miskatonic JumpChain.pdf</v>
      </c>
      <c r="B1896" s="12" t="str">
        <f t="shared" si="192"/>
        <v>DriveAnon's 4chan Drive/2. EVERYONE ELSE'S JUMPS/1. Complete with images</v>
      </c>
    </row>
    <row r="1897">
      <c r="A1897" s="12" t="str">
        <f>HYPERLINK("https://drive.google.com/file/d/15zbtHuh1Qzi6HApONpV8SzqYOMyQr7ty/view?usp=drivesdk","Telemonster JumpChain.pdf")</f>
        <v>Telemonster JumpChain.pdf</v>
      </c>
      <c r="B1897" s="12" t="str">
        <f t="shared" si="192"/>
        <v>DriveAnon's 4chan Drive/2. EVERYONE ELSE'S JUMPS/1. Complete with images</v>
      </c>
    </row>
    <row r="1898">
      <c r="A1898" s="12" t="str">
        <f>HYPERLINK("https://drive.google.com/file/d/19VqKl7Cz_uNEUSZI-t5058NqEY4tghFz/view?usp=drivesdk","Mad Men JumpChain.pdf")</f>
        <v>Mad Men JumpChain.pdf</v>
      </c>
      <c r="B1898" s="12" t="str">
        <f t="shared" si="192"/>
        <v>DriveAnon's 4chan Drive/2. EVERYONE ELSE'S JUMPS/1. Complete with images</v>
      </c>
    </row>
    <row r="1899">
      <c r="A1899" s="12" t="str">
        <f>HYPERLINK("https://drive.google.com/file/d/1BgzWYuP2nt-nhmiEt8y02aF-nGXW3gfz/view?usp=drivesdk","Katawa Shoujo JumpChain.pdf")</f>
        <v>Katawa Shoujo JumpChain.pdf</v>
      </c>
      <c r="B1899" s="12" t="str">
        <f t="shared" si="192"/>
        <v>DriveAnon's 4chan Drive/2. EVERYONE ELSE'S JUMPS/1. Complete with images</v>
      </c>
    </row>
    <row r="1900">
      <c r="A1900" s="12" t="str">
        <f>HYPERLINK("https://drive.google.com/file/d/1C4LJ1-3dGxnXMkThWSKc3RJ0N6oOeSvN/view?usp=drivesdk","CRYPTARK JumpChain.pdf")</f>
        <v>CRYPTARK JumpChain.pdf</v>
      </c>
      <c r="B1900" s="12" t="str">
        <f t="shared" si="192"/>
        <v>DriveAnon's 4chan Drive/2. EVERYONE ELSE'S JUMPS/1. Complete with images</v>
      </c>
    </row>
    <row r="1901">
      <c r="A1901" s="12" t="str">
        <f>HYPERLINK("https://drive.google.com/file/d/1CsC_N7LqXz_5LQi2F3rPydKE_GLXwA6X/view?usp=drivesdk","Little Nemo - Adventures in Dreamland JumpChain.pdf")</f>
        <v>Little Nemo - Adventures in Dreamland JumpChain.pdf</v>
      </c>
      <c r="B1901" s="12" t="str">
        <f t="shared" si="192"/>
        <v>DriveAnon's 4chan Drive/2. EVERYONE ELSE'S JUMPS/1. Complete with images</v>
      </c>
    </row>
    <row r="1902">
      <c r="A1902" s="12" t="str">
        <f>HYPERLINK("https://drive.google.com/file/d/1E7xYR7Sqp2XEnVPEPEL0pAIWQC9ZLCPG/view?usp=drivesdk","Invincible JumpChain.pdf")</f>
        <v>Invincible JumpChain.pdf</v>
      </c>
      <c r="B1902" s="12" t="str">
        <f t="shared" si="192"/>
        <v>DriveAnon's 4chan Drive/2. EVERYONE ELSE'S JUMPS/1. Complete with images</v>
      </c>
    </row>
    <row r="1903">
      <c r="A1903" s="12" t="str">
        <f>HYPERLINK("https://drive.google.com/file/d/1ESnTCAf76KT6_7Q_hWgojdlNz5Lc7Yw4/view?usp=drivesdk","Black Dynamite JumpChain.pdf")</f>
        <v>Black Dynamite JumpChain.pdf</v>
      </c>
      <c r="B1903" s="12" t="str">
        <f t="shared" si="192"/>
        <v>DriveAnon's 4chan Drive/2. EVERYONE ELSE'S JUMPS/1. Complete with images</v>
      </c>
    </row>
    <row r="1904">
      <c r="A1904" s="12" t="str">
        <f>HYPERLINK("https://drive.google.com/file/d/1HRn88HTdaczk1IjpP32g7S0rih1vCAzH/view?usp=drivesdk","Kemono Friends JumpChain.pdf")</f>
        <v>Kemono Friends JumpChain.pdf</v>
      </c>
      <c r="B1904" s="12" t="str">
        <f t="shared" si="192"/>
        <v>DriveAnon's 4chan Drive/2. EVERYONE ELSE'S JUMPS/1. Complete with images</v>
      </c>
    </row>
    <row r="1905">
      <c r="A1905" s="12" t="str">
        <f>HYPERLINK("https://drive.google.com/file/d/1IhVoCLPV47oGvXaxcb8lsfBnwfrqnj6U/view?usp=drivesdk","Breaking Bad JumpChain.pdf")</f>
        <v>Breaking Bad JumpChain.pdf</v>
      </c>
      <c r="B1905" s="12" t="str">
        <f t="shared" si="192"/>
        <v>DriveAnon's 4chan Drive/2. EVERYONE ELSE'S JUMPS/1. Complete with images</v>
      </c>
    </row>
    <row r="1906">
      <c r="A1906" s="12" t="str">
        <f>HYPERLINK("https://drive.google.com/file/d/1JM6DpX0uVAgcDahXMCr3N6t8F594WyTN/view?usp=drivesdk","Miracleman JumpChain.pdf")</f>
        <v>Miracleman JumpChain.pdf</v>
      </c>
      <c r="B1906" s="12" t="str">
        <f t="shared" si="192"/>
        <v>DriveAnon's 4chan Drive/2. EVERYONE ELSE'S JUMPS/1. Complete with images</v>
      </c>
    </row>
    <row r="1907">
      <c r="A1907" s="12" t="str">
        <f>HYPERLINK("https://drive.google.com/file/d/1KNqT8JsujEd0GWlZ2gx_0w3hXHP_n-YA/view?usp=drivesdk","Baki the Grappler Part 1 (Grappler Baki) JumpChain .pdf")</f>
        <v>Baki the Grappler Part 1 (Grappler Baki) JumpChain .pdf</v>
      </c>
      <c r="B1907" s="12" t="str">
        <f t="shared" si="192"/>
        <v>DriveAnon's 4chan Drive/2. EVERYONE ELSE'S JUMPS/1. Complete with images</v>
      </c>
    </row>
    <row r="1908">
      <c r="A1908" s="12" t="str">
        <f>HYPERLINK("https://drive.google.com/file/d/1L3obdHYCM4zRm3thLzvXt9Umj8kxp1zH/view?usp=drivesdk","The Free Universe JumpChain.pdf")</f>
        <v>The Free Universe JumpChain.pdf</v>
      </c>
      <c r="B1908" s="12" t="str">
        <f t="shared" si="192"/>
        <v>DriveAnon's 4chan Drive/2. EVERYONE ELSE'S JUMPS/1. Complete with images</v>
      </c>
    </row>
    <row r="1909">
      <c r="A1909" s="12" t="str">
        <f>HYPERLINK("https://drive.google.com/file/d/1OJf76MJMU297xPA6BnZw8qLgUzssunNz/view?usp=drivesdk","Dead by Daylight JumpChain.pdf")</f>
        <v>Dead by Daylight JumpChain.pdf</v>
      </c>
      <c r="B1909" s="12" t="str">
        <f t="shared" si="192"/>
        <v>DriveAnon's 4chan Drive/2. EVERYONE ELSE'S JUMPS/1. Complete with images</v>
      </c>
    </row>
    <row r="1910">
      <c r="A1910" s="12" t="str">
        <f>HYPERLINK("https://drive.google.com/file/d/1Ol7stSXWDUXp0jfjE5jBunbntZDABsMS/view?usp=drivesdk","Monster Prom JumpChain.pdf")</f>
        <v>Monster Prom JumpChain.pdf</v>
      </c>
      <c r="B1910" s="12" t="str">
        <f t="shared" si="192"/>
        <v>DriveAnon's 4chan Drive/2. EVERYONE ELSE'S JUMPS/1. Complete with images</v>
      </c>
    </row>
    <row r="1911">
      <c r="A1911" s="12" t="str">
        <f>HYPERLINK("https://drive.google.com/file/d/1RRW4nx2jJufLi84t_IWTvbTFeR9SvmgQ/view?usp=drivesdk","Uratarou JumpChain.pdf")</f>
        <v>Uratarou JumpChain.pdf</v>
      </c>
      <c r="B1911" s="12" t="str">
        <f t="shared" si="192"/>
        <v>DriveAnon's 4chan Drive/2. EVERYONE ELSE'S JUMPS/1. Complete with images</v>
      </c>
    </row>
    <row r="1912">
      <c r="A1912" s="12" t="str">
        <f>HYPERLINK("https://drive.google.com/file/d/1TH7CY0p5vpFUDCPpvVhrAd0lHgfBtj0b/view?usp=drivesdk","The Lucifer and Biscuit Hammer JumpChain.pdf")</f>
        <v>The Lucifer and Biscuit Hammer JumpChain.pdf</v>
      </c>
      <c r="B1912" s="12" t="str">
        <f t="shared" si="192"/>
        <v>DriveAnon's 4chan Drive/2. EVERYONE ELSE'S JUMPS/1. Complete with images</v>
      </c>
    </row>
    <row r="1913">
      <c r="A1913" s="12" t="str">
        <f>HYPERLINK("https://drive.google.com/file/d/1Twlfk_lpfVezJ7D3cCEjq3jkj0m705qp/view?usp=drivesdk","Pyre JumpChain.pdf")</f>
        <v>Pyre JumpChain.pdf</v>
      </c>
      <c r="B1913" s="12" t="str">
        <f t="shared" si="192"/>
        <v>DriveAnon's 4chan Drive/2. EVERYONE ELSE'S JUMPS/1. Complete with images</v>
      </c>
    </row>
    <row r="1914">
      <c r="A1914" s="12" t="str">
        <f>HYPERLINK("https://drive.google.com/file/d/1awIzTgOjVessslZUXqcZ-iC_E_BRDNn2/view?usp=drivesdk","Kid Icarus JumpChain.pdf")</f>
        <v>Kid Icarus JumpChain.pdf</v>
      </c>
      <c r="B1914" s="12" t="str">
        <f t="shared" si="192"/>
        <v>DriveAnon's 4chan Drive/2. EVERYONE ELSE'S JUMPS/1. Complete with images</v>
      </c>
    </row>
    <row r="1915">
      <c r="A1915" s="12" t="str">
        <f>HYPERLINK("https://drive.google.com/file/d/1cAGDDxHdw2dAfGuNJ7HAOZXOW1CYV6qt/view?usp=drivesdk","The Magicians JumpChain.pdf")</f>
        <v>The Magicians JumpChain.pdf</v>
      </c>
      <c r="B1915" s="12" t="str">
        <f t="shared" si="192"/>
        <v>DriveAnon's 4chan Drive/2. EVERYONE ELSE'S JUMPS/1. Complete with images</v>
      </c>
    </row>
    <row r="1916">
      <c r="A1916" s="12" t="str">
        <f>HYPERLINK("https://drive.google.com/file/d/1gDIccBWN6G3BtBy0rcRDbDM7mU3VsS__/view?usp=drivesdk","Henkei Shoujo jumpChain.pdf")</f>
        <v>Henkei Shoujo jumpChain.pdf</v>
      </c>
      <c r="B1916" s="12" t="str">
        <f t="shared" si="192"/>
        <v>DriveAnon's 4chan Drive/2. EVERYONE ELSE'S JUMPS/1. Complete with images</v>
      </c>
    </row>
    <row r="1917">
      <c r="A1917" s="12" t="str">
        <f>HYPERLINK("https://drive.google.com/file/d/1h_WrCSr77I5DD7STefdxr8Rf-TaXCJSD/view?usp=drivesdk","Dog Days JumpChain.pdf")</f>
        <v>Dog Days JumpChain.pdf</v>
      </c>
      <c r="B1917" s="12" t="str">
        <f t="shared" si="192"/>
        <v>DriveAnon's 4chan Drive/2. EVERYONE ELSE'S JUMPS/1. Complete with images</v>
      </c>
    </row>
    <row r="1918">
      <c r="A1918" s="12" t="str">
        <f>HYPERLINK("https://drive.google.com/file/d/1mfcdmrb31K1vfHSq02nGD8gUYKujic06/view?usp=drivesdk","Nanbaka JumpChain.pdf")</f>
        <v>Nanbaka JumpChain.pdf</v>
      </c>
      <c r="B1918" s="12" t="str">
        <f t="shared" si="192"/>
        <v>DriveAnon's 4chan Drive/2. EVERYONE ELSE'S JUMPS/1. Complete with images</v>
      </c>
    </row>
    <row r="1919">
      <c r="A1919" s="12" t="str">
        <f>HYPERLINK("https://drive.google.com/file/d/1ori7TgzDxQUvesFF_tAhkwecx1GAaFQV/view?usp=drivesdk","Danganronpa JumpChain.pdf")</f>
        <v>Danganronpa JumpChain.pdf</v>
      </c>
      <c r="B1919" s="12" t="str">
        <f t="shared" si="192"/>
        <v>DriveAnon's 4chan Drive/2. EVERYONE ELSE'S JUMPS/1. Complete with images</v>
      </c>
    </row>
    <row r="1920">
      <c r="A1920" s="12" t="str">
        <f>HYPERLINK("https://drive.google.com/file/d/1tS-GnncBlAA33J6bVu2HZ6t2DPfyBDYH/view?usp=drivesdk","Halloween JumpChain.pdf")</f>
        <v>Halloween JumpChain.pdf</v>
      </c>
      <c r="B1920" s="12" t="str">
        <f t="shared" si="192"/>
        <v>DriveAnon's 4chan Drive/2. EVERYONE ELSE'S JUMPS/1. Complete with images</v>
      </c>
    </row>
    <row r="1921">
      <c r="A1921" s="12" t="str">
        <f>HYPERLINK("https://drive.google.com/file/d/1w15OzgrlWxzwgclRn0ps-jhq_EG-_W9h/view?usp=drivesdk","Attack on Titan JumpChain.pdf")</f>
        <v>Attack on Titan JumpChain.pdf</v>
      </c>
      <c r="B1921" s="12" t="str">
        <f t="shared" si="192"/>
        <v>DriveAnon's 4chan Drive/2. EVERYONE ELSE'S JUMPS/1. Complete with images</v>
      </c>
    </row>
    <row r="1922">
      <c r="A1922" s="12" t="str">
        <f>HYPERLINK("https://drive.google.com/file/d/1ygNlB8U8f4s6os19Y6-7REyyfHVzVHL-/view?usp=drivesdk","Supreme Commander JumpChain.pdf")</f>
        <v>Supreme Commander JumpChain.pdf</v>
      </c>
      <c r="B1922" s="12" t="str">
        <f t="shared" si="192"/>
        <v>DriveAnon's 4chan Drive/2. EVERYONE ELSE'S JUMPS/1. Complete with images</v>
      </c>
    </row>
    <row r="1923">
      <c r="A1923" s="12" t="str">
        <f>HYPERLINK("https://drive.google.com/file/d/11_AngKbBY-vcoHXrpNlZzDjr6k70gC4g/view?usp=drivesdk","The Culture Minds JumpChain.pdf")</f>
        <v>The Culture Minds JumpChain.pdf</v>
      </c>
      <c r="B1923" s="12" t="str">
        <f t="shared" si="192"/>
        <v>DriveAnon's 4chan Drive/2. EVERYONE ELSE'S JUMPS/1. Complete with images</v>
      </c>
    </row>
    <row r="1924">
      <c r="A1924" s="12" t="str">
        <f>HYPERLINK("https://drive.google.com/file/d/12xuab0hyBGAmtkG-JTs4HprlAR5Q2dsK/view?usp=drivesdk","Animal Crossing JumpChain.pdf")</f>
        <v>Animal Crossing JumpChain.pdf</v>
      </c>
      <c r="B1924" s="12" t="str">
        <f t="shared" si="192"/>
        <v>DriveAnon's 4chan Drive/2. EVERYONE ELSE'S JUMPS/1. Complete with images</v>
      </c>
    </row>
    <row r="1925">
      <c r="A1925" s="12" t="str">
        <f>HYPERLINK("https://drive.google.com/file/d/13t8REvnQ-KqGloeen5bTT30T3tFRczHo/view?usp=drivesdk","Nyanko Days JumpChain.pdf")</f>
        <v>Nyanko Days JumpChain.pdf</v>
      </c>
      <c r="B1925" s="12" t="str">
        <f t="shared" si="192"/>
        <v>DriveAnon's 4chan Drive/2. EVERYONE ELSE'S JUMPS/1. Complete with images</v>
      </c>
    </row>
    <row r="1926">
      <c r="A1926" s="12" t="str">
        <f>HYPERLINK("https://drive.google.com/file/d/19M1mJnbw1vbb4571UDEXvUdIeoJ43CAI/view?usp=drivesdk","Crypt of the NecroDancer JumpChain.pdf")</f>
        <v>Crypt of the NecroDancer JumpChain.pdf</v>
      </c>
      <c r="B1926" s="12" t="str">
        <f t="shared" si="192"/>
        <v>DriveAnon's 4chan Drive/2. EVERYONE ELSE'S JUMPS/1. Complete with images</v>
      </c>
    </row>
    <row r="1927">
      <c r="A1927" s="12" t="str">
        <f>HYPERLINK("https://drive.google.com/file/d/19Y0iHoFuGvmA2gSwYMv41gmHVhzBnhwQ/view?usp=drivesdk","Dragon Sword JumpChain.pdf")</f>
        <v>Dragon Sword JumpChain.pdf</v>
      </c>
      <c r="B1927" s="12" t="str">
        <f t="shared" si="192"/>
        <v>DriveAnon's 4chan Drive/2. EVERYONE ELSE'S JUMPS/1. Complete with images</v>
      </c>
    </row>
    <row r="1928">
      <c r="A1928" s="12" t="str">
        <f>HYPERLINK("https://drive.google.com/file/d/1ko2_UQHYt_hi6jLRn8t3wvYWrnWf9MiF/view?usp=drivesdk","Little Nicky JumpChain.pdf")</f>
        <v>Little Nicky JumpChain.pdf</v>
      </c>
      <c r="B1928" s="12" t="str">
        <f t="shared" si="192"/>
        <v>DriveAnon's 4chan Drive/2. EVERYONE ELSE'S JUMPS/1. Complete with images</v>
      </c>
    </row>
    <row r="1929">
      <c r="A1929" s="12" t="str">
        <f>HYPERLINK("https://drive.google.com/file/d/1qNjzvvQkQyhFNgMdMRfwpsyn1DAh_RzK/view?usp=drivesdk","Maou na Ore to Fushihime no Yubiwa JumpChain.pdf")</f>
        <v>Maou na Ore to Fushihime no Yubiwa JumpChain.pdf</v>
      </c>
      <c r="B1929" s="12" t="str">
        <f t="shared" si="192"/>
        <v>DriveAnon's 4chan Drive/2. EVERYONE ELSE'S JUMPS/1. Complete with images</v>
      </c>
    </row>
    <row r="1930">
      <c r="A1930" s="12" t="str">
        <f>HYPERLINK("https://drive.google.com/file/d/1yynKGpb6Conh8UVkSlU7bhWJh9AEfTs0/view?usp=drivesdk","Cheetahmen JumpChain.pdf")</f>
        <v>Cheetahmen JumpChain.pdf</v>
      </c>
      <c r="B1930" s="12" t="str">
        <f t="shared" si="192"/>
        <v>DriveAnon's 4chan Drive/2. EVERYONE ELSE'S JUMPS/1. Complete with images</v>
      </c>
    </row>
    <row r="1931">
      <c r="A1931" s="12" t="str">
        <f>HYPERLINK("https://drive.google.com/file/d/19--RnJgAxf0rN58BNeT6JW2l4N9BwjOz/view?usp=drivesdk","Ankle Biters JumpChain.pdf")</f>
        <v>Ankle Biters JumpChain.pdf</v>
      </c>
      <c r="B1931" s="12" t="str">
        <f t="shared" si="192"/>
        <v>DriveAnon's 4chan Drive/2. EVERYONE ELSE'S JUMPS/1. Complete with images</v>
      </c>
    </row>
    <row r="1932">
      <c r="A1932" s="12" t="str">
        <f>HYPERLINK("https://drive.google.com/file/d/1EjS3AJX83aHUvQ8enoEY3UG8y0AdJgrY/view?usp=drivesdk","R-Type Jumpchain.pdf")</f>
        <v>R-Type Jumpchain.pdf</v>
      </c>
      <c r="B1932" s="12" t="str">
        <f t="shared" si="192"/>
        <v>DriveAnon's 4chan Drive/2. EVERYONE ELSE'S JUMPS/1. Complete with images</v>
      </c>
    </row>
    <row r="1933">
      <c r="A1933" s="12" t="str">
        <f>HYPERLINK("https://drive.google.com/file/d/1bzViIsq-FO3hgdvOrYaaKnlXF848B94q/view?usp=drivesdk","Tensei Shitara Slime Datta Ken JumpChain.pdf")</f>
        <v>Tensei Shitara Slime Datta Ken JumpChain.pdf</v>
      </c>
      <c r="B1933" s="12" t="str">
        <f t="shared" si="192"/>
        <v>DriveAnon's 4chan Drive/2. EVERYONE ELSE'S JUMPS/1. Complete with images</v>
      </c>
    </row>
    <row r="1934">
      <c r="A1934" s="12" t="str">
        <f>HYPERLINK("https://drive.google.com/file/d/1t7q56ZAgcOeoABRxX9IvGrTU7zy_-kL9/view?usp=drivesdk","A Will Eternal JumpChain.pdf")</f>
        <v>A Will Eternal JumpChain.pdf</v>
      </c>
      <c r="B1934" s="12" t="str">
        <f t="shared" si="192"/>
        <v>DriveAnon's 4chan Drive/2. EVERYONE ELSE'S JUMPS/1. Complete with images</v>
      </c>
    </row>
    <row r="1935">
      <c r="A1935" s="12" t="str">
        <f>HYPERLINK("https://drive.google.com/file/d/1n_A2-u__915JYDmS7R3NZeYNt0wyp2gZ/view?usp=drivesdk","Valkyrie Crusade Jumpchain v1.1.0 imaged.pdf")</f>
        <v>Valkyrie Crusade Jumpchain v1.1.0 imaged.pdf</v>
      </c>
      <c r="B1935" s="12" t="str">
        <f t="shared" si="192"/>
        <v>DriveAnon's 4chan Drive/2. EVERYONE ELSE'S JUMPS/1. Complete with images</v>
      </c>
    </row>
    <row r="1936">
      <c r="A1936" s="12" t="str">
        <f>HYPERLINK("https://drive.google.com/file/d/1uiXGiTrN0UZGwvPgXt1y8M4IItAEKURV/view?usp=drivesdk","Waifu Universalis.pdf")</f>
        <v>Waifu Universalis.pdf</v>
      </c>
      <c r="B1936" s="12" t="str">
        <f t="shared" si="192"/>
        <v>DriveAnon's 4chan Drive/2. EVERYONE ELSE'S JUMPS/1. Complete with images</v>
      </c>
    </row>
    <row r="1937">
      <c r="A1937" s="12" t="str">
        <f>HYPERLINK("https://drive.google.com/file/d/1yhhAJySMSo6vCSmemo1n4kvgPcC5fhbw/view?usp=drivesdk","Breakfast of the Gods.pdf")</f>
        <v>Breakfast of the Gods.pdf</v>
      </c>
      <c r="B1937" s="12" t="str">
        <f t="shared" si="192"/>
        <v>DriveAnon's 4chan Drive/2. EVERYONE ELSE'S JUMPS/1. Complete with images</v>
      </c>
    </row>
    <row r="1938">
      <c r="A1938" s="12" t="str">
        <f>HYPERLINK("https://drive.google.com/file/d/19sm8q1097Bt7ESC7OlI4ZGLy7fj0G2RU/view?usp=drivesdk","Nightmare on Elm Street JumpChain.pdf")</f>
        <v>Nightmare on Elm Street JumpChain.pdf</v>
      </c>
      <c r="B1938" s="12" t="str">
        <f t="shared" si="192"/>
        <v>DriveAnon's 4chan Drive/2. EVERYONE ELSE'S JUMPS/1. Complete with images</v>
      </c>
    </row>
    <row r="1939">
      <c r="A1939" s="12" t="str">
        <f>HYPERLINK("https://drive.google.com/file/d/1ANMFaZNHg_zskKQ1RlH4NjYC04pLTJpd/view?usp=drivesdk","Friday the 13th JumpChain.pdf")</f>
        <v>Friday the 13th JumpChain.pdf</v>
      </c>
      <c r="B1939" s="12" t="str">
        <f t="shared" si="192"/>
        <v>DriveAnon's 4chan Drive/2. EVERYONE ELSE'S JUMPS/1. Complete with images</v>
      </c>
    </row>
    <row r="1940">
      <c r="A1940" s="12" t="str">
        <f>HYPERLINK("https://drive.google.com/file/d/1I5s-5KKVv04xozW3DF82uWIpWAack8cJ/view?usp=drivesdk","Helck.pdf")</f>
        <v>Helck.pdf</v>
      </c>
      <c r="B1940" s="12" t="str">
        <f t="shared" si="192"/>
        <v>DriveAnon's 4chan Drive/2. EVERYONE ELSE'S JUMPS/1. Complete with images</v>
      </c>
    </row>
    <row r="1941">
      <c r="A1941" s="12" t="str">
        <f>HYPERLINK("https://drive.google.com/file/d/1qMXeF9g3-rrTLA80M0gCp9FxUvB1DV3k/view?usp=drivesdk","World of Horror.pdf")</f>
        <v>World of Horror.pdf</v>
      </c>
      <c r="B1941" s="12" t="str">
        <f t="shared" si="192"/>
        <v>DriveAnon's 4chan Drive/2. EVERYONE ELSE'S JUMPS/1. Complete with images</v>
      </c>
    </row>
    <row r="1942">
      <c r="A1942" s="12" t="str">
        <f>HYPERLINK("https://docs.google.com/document/d/1CMk6E_NBYvMiWuafu0Pudhf1X5DepEty/edit?usp=drivesdk&amp;ouid=115153177157280896651&amp;rtpof=true&amp;sd=true","Unoffical Basic Jumper Record Template.docx")</f>
        <v>Unoffical Basic Jumper Record Template.docx</v>
      </c>
      <c r="B1942" s="12" t="str">
        <f t="shared" ref="B1942:B1947" si="193">HYPERLINK("https://drive.google.com/drive/folders/1qzfVVn6JlcqLe6pKdb0XIiiiuTXSt0zg","DriveAnon's 4chan Drive/0. How to JumpChain")</f>
        <v>DriveAnon's 4chan Drive/0. How to JumpChain</v>
      </c>
    </row>
    <row r="1943">
      <c r="A1943" s="12" t="str">
        <f>HYPERLINK("https://drive.google.com/file/d/1McaUsuH_fwkDvsSua1ylakPv3xmuMhHC/view?usp=drivesdk","Basic Guide to make a Imaged Jumpin GoogleDocs or AKA The Lazy Imaged Method.pdf")</f>
        <v>Basic Guide to make a Imaged Jumpin GoogleDocs or AKA The Lazy Imaged Method.pdf</v>
      </c>
      <c r="B1943" s="12" t="str">
        <f t="shared" si="193"/>
        <v>DriveAnon's 4chan Drive/0. How to JumpChain</v>
      </c>
    </row>
    <row r="1944">
      <c r="A1944" s="12" t="str">
        <f>HYPERLINK("https://drive.google.com/file/d/1XO5xFBQKfaDyARBLQk4NR3-Z1sKQAN9U/view?usp=drivesdk","How to JumpChain!.pdf")</f>
        <v>How to JumpChain!.pdf</v>
      </c>
      <c r="B1944" s="12" t="str">
        <f t="shared" si="193"/>
        <v>DriveAnon's 4chan Drive/0. How to JumpChain</v>
      </c>
    </row>
    <row r="1945">
      <c r="A1945" s="12" t="str">
        <f>HYPERLINK("https://drive.google.com/file/d/1h6ZSlf-c8jVEMW0cL_agQ4r8URs2jCKc/view?usp=drivesdk","JumpChain Template.png")</f>
        <v>JumpChain Template.png</v>
      </c>
      <c r="B1945" s="12" t="str">
        <f t="shared" si="193"/>
        <v>DriveAnon's 4chan Drive/0. How to JumpChain</v>
      </c>
    </row>
    <row r="1946">
      <c r="A1946" s="12" t="str">
        <f>HYPERLINK("https://docs.google.com/document/d/1obPntaGn1YjQwe4-Mxghl0kJzxAi8t8l/edit?usp=drivesdk&amp;ouid=115153177157280896651&amp;rtpof=true&amp;sd=true","Unoffical Basic Companion Record Template.docx")</f>
        <v>Unoffical Basic Companion Record Template.docx</v>
      </c>
      <c r="B1946" s="12" t="str">
        <f t="shared" si="193"/>
        <v>DriveAnon's 4chan Drive/0. How to JumpChain</v>
      </c>
    </row>
    <row r="1947">
      <c r="A1947" s="12" t="str">
        <f>HYPERLINK("https://docs.google.com/document/d/1yE_XsQaK3gCuoSaMRz8GuO2hcMNSh6el/edit?usp=drivesdk&amp;ouid=115153177157280896651&amp;rtpof=true&amp;sd=true","Jumpchain Rules..docx")</f>
        <v>Jumpchain Rules..docx</v>
      </c>
      <c r="B1947" s="12" t="str">
        <f t="shared" si="193"/>
        <v>DriveAnon's 4chan Drive/0. How to JumpChain</v>
      </c>
    </row>
    <row r="1948">
      <c r="A1948" s="12" t="str">
        <f>HYPERLINK("https://drive.google.com/file/d/0B4IZ_NzI99JNM0RpUmxnYkYyLUU/view?usp=drivesdk&amp;resourcekey=0-eIx9AkomBuvf5WSZtTP2_g","Slave Maker 3.pdf")</f>
        <v>Slave Maker 3.pdf</v>
      </c>
      <c r="B1948" s="12" t="str">
        <f t="shared" ref="B1948:B2050" si="194">HYPERLINK("https://drive.google.com/drive/folders/0By8NY-NO4-N5bDRqVXdNTWdrSTQ?resourcekey=0-BrPr_ebH6dd7z8VrhSIH9Q","QQ Drive/Lewd")</f>
        <v>QQ Drive/Lewd</v>
      </c>
    </row>
    <row r="1949">
      <c r="A1949" s="12" t="str">
        <f>HYPERLINK("https://drive.google.com/file/d/1rnNdbnAZOSbqjtWY2EMYGhYotKAy4l_U/view?usp=drivesdk","A Change of Tactics Jumpchain 2.2.pdf")</f>
        <v>A Change of Tactics Jumpchain 2.2.pdf</v>
      </c>
      <c r="B1949" s="12" t="str">
        <f t="shared" si="194"/>
        <v>QQ Drive/Lewd</v>
      </c>
    </row>
    <row r="1950">
      <c r="A1950" s="12" t="str">
        <f>HYPERLINK("https://docs.google.com/document/d/1Fi12MewfB2eHB9Me79ohveJt7tc-s_NEOAOFXeTp0EE/edit?usp=drivesdk","Mind Control University Jump v1.1")</f>
        <v>Mind Control University Jump v1.1</v>
      </c>
      <c r="B1950" s="12" t="str">
        <f t="shared" si="194"/>
        <v>QQ Drive/Lewd</v>
      </c>
    </row>
    <row r="1951">
      <c r="A1951" s="12" t="str">
        <f>HYPERLINK("https://drive.google.com/file/d/1zseGzU_W2dGa8lTRlRY2bOGTNyD50U0W/view?usp=drivesdk","Nawashi Jumpchain v2.1.pdf")</f>
        <v>Nawashi Jumpchain v2.1.pdf</v>
      </c>
      <c r="B1951" s="12" t="str">
        <f t="shared" si="194"/>
        <v>QQ Drive/Lewd</v>
      </c>
    </row>
    <row r="1952">
      <c r="A1952" s="12" t="str">
        <f>HYPERLINK("https://drive.google.com/file/d/1siUBPXf9U-XMu8uqVzL3iGAs0UEybTd4/view?usp=drivesdk","Pokemon Ecchi Version v1.3.pdf")</f>
        <v>Pokemon Ecchi Version v1.3.pdf</v>
      </c>
      <c r="B1952" s="12" t="str">
        <f t="shared" si="194"/>
        <v>QQ Drive/Lewd</v>
      </c>
    </row>
    <row r="1953">
      <c r="A1953" s="12" t="str">
        <f>HYPERLINK("https://drive.google.com/file/d/10HnJhd15l3cOZepOt7_TwuRyC89uwdL4/view?usp=drivesdk","Mind Control University Jump v1.1.pdf")</f>
        <v>Mind Control University Jump v1.1.pdf</v>
      </c>
      <c r="B1953" s="12" t="str">
        <f t="shared" si="194"/>
        <v>QQ Drive/Lewd</v>
      </c>
    </row>
    <row r="1954">
      <c r="A1954" s="12" t="str">
        <f>HYPERLINK("https://drive.google.com/file/d/1O9OpVeHLo8Y5VqbTDeI0yHENfxxM8Rbz/view?usp=drivesdk","JK Taimabu (or, Exorcism Club for Black-haired Girls with Ponytails).pdf")</f>
        <v>JK Taimabu (or, Exorcism Club for Black-haired Girls with Ponytails).pdf</v>
      </c>
      <c r="B1954" s="12" t="str">
        <f t="shared" si="194"/>
        <v>QQ Drive/Lewd</v>
      </c>
    </row>
    <row r="1955">
      <c r="A1955" s="12" t="str">
        <f>HYPERLINK("https://drive.google.com/file/d/1GMcmKCHzsaZ0ACaTRQkoP3PlT_tXhDdY/view?usp=drivesdk","Ashigei Shoujo Komura-san JumpChain.pdf")</f>
        <v>Ashigei Shoujo Komura-san JumpChain.pdf</v>
      </c>
      <c r="B1955" s="12" t="str">
        <f t="shared" si="194"/>
        <v>QQ Drive/Lewd</v>
      </c>
    </row>
    <row r="1956">
      <c r="A1956" s="12" t="str">
        <f>HYPERLINK("https://drive.google.com/file/d/1Tcyt44Rd2Fa3JG95RniT4PHoen0QJPPI/view?usp=drivesdk","Lexx.pdf")</f>
        <v>Lexx.pdf</v>
      </c>
      <c r="B1956" s="12" t="str">
        <f t="shared" si="194"/>
        <v>QQ Drive/Lewd</v>
      </c>
    </row>
    <row r="1957">
      <c r="A1957" s="12" t="str">
        <f>HYPERLINK("https://drive.google.com/file/d/1pShyNUA9VziF8FT67bgQeEmA5932AZvo/view?usp=drivesdk","Sphilias Familiar.pdf")</f>
        <v>Sphilias Familiar.pdf</v>
      </c>
      <c r="B1957" s="12" t="str">
        <f t="shared" si="194"/>
        <v>QQ Drive/Lewd</v>
      </c>
    </row>
    <row r="1958">
      <c r="A1958" s="12" t="str">
        <f>HYPERLINK("https://drive.google.com/file/d/1aDVGBhyTpXgXdgVrr2S0BG3wMJbdyKSa/view?usp=drivesdk","The Legend of Zelda - Breathless Wild Jumpchain v3.1.pdf")</f>
        <v>The Legend of Zelda - Breathless Wild Jumpchain v3.1.pdf</v>
      </c>
      <c r="B1958" s="12" t="str">
        <f t="shared" si="194"/>
        <v>QQ Drive/Lewd</v>
      </c>
    </row>
    <row r="1959">
      <c r="A1959" s="12" t="str">
        <f>HYPERLINK("https://drive.google.com/file/d/1mMs_w3_4KYcFKWJdFe5xicG_4CXlvp7B/view?usp=drivesdk","Yurisekai.pdf")</f>
        <v>Yurisekai.pdf</v>
      </c>
      <c r="B1959" s="12" t="str">
        <f t="shared" si="194"/>
        <v>QQ Drive/Lewd</v>
      </c>
    </row>
    <row r="1960">
      <c r="A1960" s="12" t="str">
        <f>HYPERLINK("https://drive.google.com/file/d/18cQ1KuGu3jeTX018atwCMtKB70nS_eUe/view?usp=drivesdk","Ranma Fall - Katamimi Buta 2.1.pdf")</f>
        <v>Ranma Fall - Katamimi Buta 2.1.pdf</v>
      </c>
      <c r="B1960" s="12" t="str">
        <f t="shared" si="194"/>
        <v>QQ Drive/Lewd</v>
      </c>
    </row>
    <row r="1961">
      <c r="A1961" s="12" t="str">
        <f>HYPERLINK("https://drive.google.com/file/d/1fRSkrvnJcEp6e4gWyiC-FrZcD-tCwwFb/view?usp=drivesdk","Dragon Ball - Troop of Beasts.pdf")</f>
        <v>Dragon Ball - Troop of Beasts.pdf</v>
      </c>
      <c r="B1961" s="12" t="str">
        <f t="shared" si="194"/>
        <v>QQ Drive/Lewd</v>
      </c>
    </row>
    <row r="1962">
      <c r="A1962" s="12" t="str">
        <f>HYPERLINK("https://drive.google.com/file/d/1T-AAWZANIvcyB1YVzcum4t2FhpzLgu7b/view?usp=drivesdk","Uranus Series by BangYou Jumpchain.pdf")</f>
        <v>Uranus Series by BangYou Jumpchain.pdf</v>
      </c>
      <c r="B1962" s="12" t="str">
        <f t="shared" si="194"/>
        <v>QQ Drive/Lewd</v>
      </c>
    </row>
    <row r="1963">
      <c r="A1963" s="12" t="str">
        <f>HYPERLINK("https://drive.google.com/file/d/15pIiv9psTzSjRcJ9US_TIiGaecJba6Tf/view?usp=drivesdk","Silver Comics 3.5.pdf")</f>
        <v>Silver Comics 3.5.pdf</v>
      </c>
      <c r="B1963" s="12" t="str">
        <f t="shared" si="194"/>
        <v>QQ Drive/Lewd</v>
      </c>
    </row>
    <row r="1964">
      <c r="A1964" s="12" t="str">
        <f>HYPERLINK("https://drive.google.com/file/d/11kLhj-JmIG-3Coxg9hpK3Yd-tf7kK4Wl/view?usp=drivesdk","Angel Academy ~ Hardcore Dorm Sex Life Jumpchain v1.11.pdf")</f>
        <v>Angel Academy ~ Hardcore Dorm Sex Life Jumpchain v1.11.pdf</v>
      </c>
      <c r="B1964" s="12" t="str">
        <f t="shared" si="194"/>
        <v>QQ Drive/Lewd</v>
      </c>
    </row>
    <row r="1965">
      <c r="A1965" s="12" t="str">
        <f>HYPERLINK("https://drive.google.com/file/d/12csJH3ps-tWTGWImcyNDlVCFyut-PfBB/view?usp=drivesdk","Karenvania.pdf")</f>
        <v>Karenvania.pdf</v>
      </c>
      <c r="B1965" s="12" t="str">
        <f t="shared" si="194"/>
        <v>QQ Drive/Lewd</v>
      </c>
    </row>
    <row r="1966">
      <c r="A1966" s="12" t="str">
        <f>HYPERLINK("https://drive.google.com/file/d/1pPLaJxzgWGj9_0I-G2mW66ZRJUix_iba/view?usp=drivesdk","Baalbuddy v1.1.pdf")</f>
        <v>Baalbuddy v1.1.pdf</v>
      </c>
      <c r="B1966" s="12" t="str">
        <f t="shared" si="194"/>
        <v>QQ Drive/Lewd</v>
      </c>
    </row>
    <row r="1967">
      <c r="A1967" s="12" t="str">
        <f>HYPERLINK("https://drive.google.com/file/d/1ClvHqFmQ5bBq9WhpMnXW0MxM7h3boh74/view?usp=drivesdk","Hentai island survival v2.0.pdf")</f>
        <v>Hentai island survival v2.0.pdf</v>
      </c>
      <c r="B1967" s="12" t="str">
        <f t="shared" si="194"/>
        <v>QQ Drive/Lewd</v>
      </c>
    </row>
    <row r="1968">
      <c r="A1968" s="12" t="str">
        <f>HYPERLINK("https://drive.google.com/file/d/13Iws2CJb4Gn1LuvjaFgbigRsgttocC5P/view?usp=drivesdk","Taimanin_ Gatchaverse.pdf")</f>
        <v>Taimanin_ Gatchaverse.pdf</v>
      </c>
      <c r="B1968" s="12" t="str">
        <f t="shared" si="194"/>
        <v>QQ Drive/Lewd</v>
      </c>
    </row>
    <row r="1969">
      <c r="A1969" s="12" t="str">
        <f>HYPERLINK("https://drive.google.com/file/d/1RjKUM-ZFAfQmSYjTfacYdN3fVrlnVCio/view?usp=drivesdk","Sekirei Jumpchain v1.0.pdf")</f>
        <v>Sekirei Jumpchain v1.0.pdf</v>
      </c>
      <c r="B1969" s="12" t="str">
        <f t="shared" si="194"/>
        <v>QQ Drive/Lewd</v>
      </c>
    </row>
    <row r="1970">
      <c r="A1970" s="12" t="str">
        <f>HYPERLINK("https://drive.google.com/file/d/1l81YGquU6CirRHbNTvw45gyzAgzbEsdn/view?usp=drivesdk","Ane Naru Mono.pdf")</f>
        <v>Ane Naru Mono.pdf</v>
      </c>
      <c r="B1970" s="12" t="str">
        <f t="shared" si="194"/>
        <v>QQ Drive/Lewd</v>
      </c>
    </row>
    <row r="1971">
      <c r="A1971" s="12" t="str">
        <f>HYPERLINK("https://drive.google.com/file/d/1wn2JhNHqlKu71KvURNn_SOqMX-L1y2SS/view?usp=drivesdk","Haramase Simulator jump v2.1.pdf")</f>
        <v>Haramase Simulator jump v2.1.pdf</v>
      </c>
      <c r="B1971" s="12" t="str">
        <f t="shared" si="194"/>
        <v>QQ Drive/Lewd</v>
      </c>
    </row>
    <row r="1972">
      <c r="A1972" s="12" t="str">
        <f>HYPERLINK("https://drive.google.com/file/d/1e4pR_7c3s7TV_BSwRBID-PE40ox-qcwW/view?usp=drivesdk","Naruto Blacked Jumpchain v1.1.pdf")</f>
        <v>Naruto Blacked Jumpchain v1.1.pdf</v>
      </c>
      <c r="B1972" s="12" t="str">
        <f t="shared" si="194"/>
        <v>QQ Drive/Lewd</v>
      </c>
    </row>
    <row r="1973">
      <c r="A1973" s="12" t="str">
        <f>HYPERLINK("https://drive.google.com/file/d/1YedHjA2qAfegC53JcjAvjUKAcOB25vt1/view?usp=drivesdk","eratohoK.pdf")</f>
        <v>eratohoK.pdf</v>
      </c>
      <c r="B1973" s="12" t="str">
        <f t="shared" si="194"/>
        <v>QQ Drive/Lewd</v>
      </c>
    </row>
    <row r="1974">
      <c r="A1974" s="12" t="str">
        <f>HYPERLINK("https://drive.google.com/file/d/1DKVDYLzaEl2fJXwbLHjvAMb4_F9cpoC_/view?usp=drivesdk","Bible Black.pdf")</f>
        <v>Bible Black.pdf</v>
      </c>
      <c r="B1974" s="12" t="str">
        <f t="shared" si="194"/>
        <v>QQ Drive/Lewd</v>
      </c>
    </row>
    <row r="1975">
      <c r="A1975" s="12" t="str">
        <f>HYPERLINK("https://drive.google.com/file/d/1xYPhNDI2eTBBl1mIHBX8dazacCDuD5Fc/view?usp=drivesdk","CHC ~ Iro ni Somerarete iku Gakuen Jump v0.001.pdf")</f>
        <v>CHC ~ Iro ni Somerarete iku Gakuen Jump v0.001.pdf</v>
      </c>
      <c r="B1975" s="12" t="str">
        <f t="shared" si="194"/>
        <v>QQ Drive/Lewd</v>
      </c>
    </row>
    <row r="1976">
      <c r="A1976" s="12" t="str">
        <f>HYPERLINK("https://drive.google.com/file/d/1KDIH3I4qpO8Pkfo62KO32tZvnFdnedNK/view?usp=drivesdk","Corruption of Champions jump (new version).pdf")</f>
        <v>Corruption of Champions jump (new version).pdf</v>
      </c>
      <c r="B1976" s="12" t="str">
        <f t="shared" si="194"/>
        <v>QQ Drive/Lewd</v>
      </c>
    </row>
    <row r="1977">
      <c r="A1977" s="12" t="str">
        <f>HYPERLINK("https://drive.google.com/file/d/16Y-9xO4lwdjnJYfs4ZQQSlKlG6hIDMsj/view?usp=drivesdk","Corruption of Champions jump (black).pdf")</f>
        <v>Corruption of Champions jump (black).pdf</v>
      </c>
      <c r="B1977" s="12" t="str">
        <f t="shared" si="194"/>
        <v>QQ Drive/Lewd</v>
      </c>
    </row>
    <row r="1978">
      <c r="A1978" s="12" t="str">
        <f>HYPERLINK("https://drive.google.com/file/d/1A5kixX8OK1-X3_ByKrEncNpaLIpTgH57/view?usp=drivesdk","Submission Sailor Moon Jumpchain v2.0.pdf")</f>
        <v>Submission Sailor Moon Jumpchain v2.0.pdf</v>
      </c>
      <c r="B1978" s="12" t="str">
        <f t="shared" si="194"/>
        <v>QQ Drive/Lewd</v>
      </c>
    </row>
    <row r="1979">
      <c r="A1979" s="12" t="str">
        <f>HYPERLINK("https://drive.google.com/file/d/19tHCpxtKVvslUfmucR25EcgS4oQekTzO/view?usp=drivesdk","ShindoL's Emergence (Rose Edition).pdf")</f>
        <v>ShindoL's Emergence (Rose Edition).pdf</v>
      </c>
      <c r="B1979" s="12" t="str">
        <f t="shared" si="194"/>
        <v>QQ Drive/Lewd</v>
      </c>
    </row>
    <row r="1980">
      <c r="A1980" s="12" t="str">
        <f>HYPERLINK("https://drive.google.com/file/d/1TTBLylh3WOC840g8Pz-VVoN0zkkL2rme/view?usp=drivesdk","Hypno App Fantasia (Rose Edition) .pdf")</f>
        <v>Hypno App Fantasia (Rose Edition) .pdf</v>
      </c>
      <c r="B1980" s="12" t="str">
        <f t="shared" si="194"/>
        <v>QQ Drive/Lewd</v>
      </c>
    </row>
    <row r="1981">
      <c r="A1981" s="12" t="str">
        <f>HYPERLINK("https://drive.google.com/file/d/1_pJnI8pvZgPejSBI3NHoiJIbOWVyxckI/view?usp=drivesdk","Victim Girls (Rose Edition) .pdf")</f>
        <v>Victim Girls (Rose Edition) .pdf</v>
      </c>
      <c r="B1981" s="12" t="str">
        <f t="shared" si="194"/>
        <v>QQ Drive/Lewd</v>
      </c>
    </row>
    <row r="1982">
      <c r="A1982" s="12" t="str">
        <f>HYPERLINK("https://drive.google.com/file/d/1cccON9gOO3UamkeblykQesmP6mE6F8Lu/view?usp=drivesdk","Shinmai Maou no Testament Jumpchain v1.1.pdf")</f>
        <v>Shinmai Maou no Testament Jumpchain v1.1.pdf</v>
      </c>
      <c r="B1982" s="12" t="str">
        <f t="shared" si="194"/>
        <v>QQ Drive/Lewd</v>
      </c>
    </row>
    <row r="1983">
      <c r="A1983" s="12" t="str">
        <f>HYPERLINK("https://drive.google.com/file/d/1eDjttDRaeuEAz7n8ag2mJ-Iqt568RoNG/view?usp=drivesdk","Evening Starter 1.11.pdf")</f>
        <v>Evening Starter 1.11.pdf</v>
      </c>
      <c r="B1983" s="12" t="str">
        <f t="shared" si="194"/>
        <v>QQ Drive/Lewd</v>
      </c>
    </row>
    <row r="1984">
      <c r="A1984" s="12" t="str">
        <f>HYPERLINK("https://drive.google.com/file/d/1lQxRCqEf79JuXdTfC0qqDCcuVDXWuqC5/view?usp=drivesdk","World of Lewd Elves.pdf")</f>
        <v>World of Lewd Elves.pdf</v>
      </c>
      <c r="B1984" s="12" t="str">
        <f t="shared" si="194"/>
        <v>QQ Drive/Lewd</v>
      </c>
    </row>
    <row r="1985">
      <c r="A1985" s="12" t="str">
        <f>HYPERLINK("https://drive.google.com/file/d/1NS87xZIBTrhyP-MI-urYeC8mgmHGG17U/view?usp=drivesdk","I'm In Another World So I Guess I'll Use Magic to be Lewd! Jumpchain v1.1.pdf")</f>
        <v>I'm In Another World So I Guess I'll Use Magic to be Lewd! Jumpchain v1.1.pdf</v>
      </c>
      <c r="B1985" s="12" t="str">
        <f t="shared" si="194"/>
        <v>QQ Drive/Lewd</v>
      </c>
    </row>
    <row r="1986">
      <c r="A1986" s="12" t="str">
        <f>HYPERLINK("https://drive.google.com/file/d/1zq7Sqa-TeZZg7jnT46x3XWbRljOd3Z0v/view?usp=drivesdk","The Legend of Zelda - Alternate Destinies.pdf")</f>
        <v>The Legend of Zelda - Alternate Destinies.pdf</v>
      </c>
      <c r="B1986" s="12" t="str">
        <f t="shared" si="194"/>
        <v>QQ Drive/Lewd</v>
      </c>
    </row>
    <row r="1987">
      <c r="A1987" s="12" t="str">
        <f>HYPERLINK("https://drive.google.com/file/d/1i3PG5QfiNtIBLV-0SdtKdfyDr3lyYwe0/view?usp=drivesdk","Taimanin V0.9.pdf")</f>
        <v>Taimanin V0.9.pdf</v>
      </c>
      <c r="B1987" s="12" t="str">
        <f t="shared" si="194"/>
        <v>QQ Drive/Lewd</v>
      </c>
    </row>
    <row r="1988">
      <c r="A1988" s="12" t="str">
        <f>HYPERLINK("https://drive.google.com/file/d/1m_A6h6mX2ox7XEhThNly-dRaGVCEMQwg/view?usp=drivesdk","Erona 1.01.pdf")</f>
        <v>Erona 1.01.pdf</v>
      </c>
      <c r="B1988" s="12" t="str">
        <f t="shared" si="194"/>
        <v>QQ Drive/Lewd</v>
      </c>
    </row>
    <row r="1989">
      <c r="A1989" s="12" t="str">
        <f>HYPERLINK("https://drive.google.com/file/d/15IajRnC3WfuFuUgCaOAR_Rvk7FsyF5S6/view?usp=drivesdk","Camp Petal for Gifted Girls - v4.pdf")</f>
        <v>Camp Petal for Gifted Girls - v4.pdf</v>
      </c>
      <c r="B1989" s="12" t="str">
        <f t="shared" si="194"/>
        <v>QQ Drive/Lewd</v>
      </c>
    </row>
    <row r="1990">
      <c r="A1990" s="12" t="str">
        <f>HYPERLINK("https://drive.google.com/file/d/1BHhANqOf0_csJw9cBNjuV85g3_D698tJ/view?usp=drivesdk","Trials In Tainted Space JumpChain v1.09.pdf")</f>
        <v>Trials In Tainted Space JumpChain v1.09.pdf</v>
      </c>
      <c r="B1990" s="12" t="str">
        <f t="shared" si="194"/>
        <v>QQ Drive/Lewd</v>
      </c>
    </row>
    <row r="1991">
      <c r="A1991" s="12" t="str">
        <f>HYPERLINK("https://drive.google.com/file/d/1MqMT2GNYtekGiFmPoSX7Lr-Wuw1hn8en/view?usp=drivesdk","Chichikko Bitch _ Witch Bitch Collection Jumpchain.pdf")</f>
        <v>Chichikko Bitch _ Witch Bitch Collection Jumpchain.pdf</v>
      </c>
      <c r="B1991" s="12" t="str">
        <f t="shared" si="194"/>
        <v>QQ Drive/Lewd</v>
      </c>
    </row>
    <row r="1992">
      <c r="A1992" s="12" t="str">
        <f>HYPERLINK("https://drive.google.com/file/d/1z22H-oWtbtapeOlv_RJWmv9MnJse48RR/view?usp=drivesdk","Bloom Pirate Hooker Jumpchain.pdf")</f>
        <v>Bloom Pirate Hooker Jumpchain.pdf</v>
      </c>
      <c r="B1992" s="12" t="str">
        <f t="shared" si="194"/>
        <v>QQ Drive/Lewd</v>
      </c>
    </row>
    <row r="1993">
      <c r="A1993" s="12" t="str">
        <f>HYPERLINK("https://drive.google.com/file/d/1OCb1EyDPbg_EE9Kzd8JKByITNVeh0zrK/view?usp=drivesdk","Elzikyuchi’s Dickgirls.pdf")</f>
        <v>Elzikyuchi’s Dickgirls.pdf</v>
      </c>
      <c r="B1993" s="12" t="str">
        <f t="shared" si="194"/>
        <v>QQ Drive/Lewd</v>
      </c>
    </row>
    <row r="1994">
      <c r="A1994" s="12" t="str">
        <f>HYPERLINK("https://drive.google.com/file/d/1Qjkc5Ie8fuGiqNpk7a-flrUiwFwmYxRd/view?usp=drivesdk","Kyonyuu Fantasy (V2.0).pdf")</f>
        <v>Kyonyuu Fantasy (V2.0).pdf</v>
      </c>
      <c r="B1994" s="12" t="str">
        <f t="shared" si="194"/>
        <v>QQ Drive/Lewd</v>
      </c>
    </row>
    <row r="1995">
      <c r="A1995" s="12" t="str">
        <f>HYPERLINK("https://drive.google.com/file/d/1cRuNUErtWh2C0p0BM3t0wFMyWYPJjfwa/view?usp=drivesdk","Shiritsu Risshin Gakuen.pdf")</f>
        <v>Shiritsu Risshin Gakuen.pdf</v>
      </c>
      <c r="B1995" s="12" t="str">
        <f t="shared" si="194"/>
        <v>QQ Drive/Lewd</v>
      </c>
    </row>
    <row r="1996">
      <c r="A1996" s="12" t="str">
        <f>HYPERLINK("https://drive.google.com/file/d/1_hm5gHbDLE5IPhsOVdpaUSzRfPXOHkrY/view?usp=drivesdk","Kyonyuu Fantasy 2 Jumpchain.pdf")</f>
        <v>Kyonyuu Fantasy 2 Jumpchain.pdf</v>
      </c>
      <c r="B1996" s="12" t="str">
        <f t="shared" si="194"/>
        <v>QQ Drive/Lewd</v>
      </c>
    </row>
    <row r="1997">
      <c r="A1997" s="12" t="str">
        <f>HYPERLINK("https://drive.google.com/file/d/1JDd3yUpHErfMT5Sd3jAZgG79HuA3jWL1/view?usp=drivesdk","Princess Sacrifice 1.51.pdf")</f>
        <v>Princess Sacrifice 1.51.pdf</v>
      </c>
      <c r="B1997" s="12" t="str">
        <f t="shared" si="194"/>
        <v>QQ Drive/Lewd</v>
      </c>
    </row>
    <row r="1998">
      <c r="A1998" s="12" t="str">
        <f>HYPERLINK("https://drive.google.com/file/d/1dxMpdiTfQEph3bAc5q_1mRdHVvWk3mQ5/view?usp=drivesdk","Smash Bros XXXtreme.pdf")</f>
        <v>Smash Bros XXXtreme.pdf</v>
      </c>
      <c r="B1998" s="12" t="str">
        <f t="shared" si="194"/>
        <v>QQ Drive/Lewd</v>
      </c>
    </row>
    <row r="1999">
      <c r="A1999" s="12" t="str">
        <f>HYPERLINK("https://drive.google.com/file/d/18BP15Rxnug2DaCbIUt6A4B8QpPIVBsOR/view?usp=drivesdk","Aki Akane.pdf")</f>
        <v>Aki Akane.pdf</v>
      </c>
      <c r="B1999" s="12" t="str">
        <f t="shared" si="194"/>
        <v>QQ Drive/Lewd</v>
      </c>
    </row>
    <row r="2000">
      <c r="A2000" s="12" t="str">
        <f>HYPERLINK("https://drive.google.com/file/d/1THIq5Hcq_p1K1xejwnZ4jG35h1X11WCA/view?usp=drivesdk","Black Jewels Series Jumpchain.pdf")</f>
        <v>Black Jewels Series Jumpchain.pdf</v>
      </c>
      <c r="B2000" s="12" t="str">
        <f t="shared" si="194"/>
        <v>QQ Drive/Lewd</v>
      </c>
    </row>
    <row r="2001">
      <c r="A2001" s="12" t="str">
        <f>HYPERLINK("https://drive.google.com/file/d/1k3oR_Zg_RvUWjFh9GucNX3BmckpWA0br/view?usp=drivesdk","Omega Labyrinth Life JumpChain.pdf")</f>
        <v>Omega Labyrinth Life JumpChain.pdf</v>
      </c>
      <c r="B2001" s="12" t="str">
        <f t="shared" si="194"/>
        <v>QQ Drive/Lewd</v>
      </c>
    </row>
    <row r="2002">
      <c r="A2002" s="12" t="str">
        <f>HYPERLINK("https://drive.google.com/file/d/1tI0dLFlq5SaegGtremEfbgTquR2na4jn/view?usp=drivesdk","How They Fap in Parallel Worlds JumpChain.pdf")</f>
        <v>How They Fap in Parallel Worlds JumpChain.pdf</v>
      </c>
      <c r="B2002" s="12" t="str">
        <f t="shared" si="194"/>
        <v>QQ Drive/Lewd</v>
      </c>
    </row>
    <row r="2003">
      <c r="A2003" s="12" t="str">
        <f>HYPERLINK("https://drive.google.com/file/d/14gkWltvWrBizf3qfwW3a609pDsfx0uv2/view?usp=drivesdk","Pokemon Harem Master.pdf")</f>
        <v>Pokemon Harem Master.pdf</v>
      </c>
      <c r="B2003" s="12" t="str">
        <f t="shared" si="194"/>
        <v>QQ Drive/Lewd</v>
      </c>
    </row>
    <row r="2004">
      <c r="A2004" s="12" t="str">
        <f>HYPERLINK("https://drive.google.com/file/d/1yI1qhX89jgUMnonKvei-ihUH5UL0t-HD/view?usp=drivesdk","Monster Girl Encyclopedia.pdf")</f>
        <v>Monster Girl Encyclopedia.pdf</v>
      </c>
      <c r="B2004" s="12" t="str">
        <f t="shared" si="194"/>
        <v>QQ Drive/Lewd</v>
      </c>
    </row>
    <row r="2005">
      <c r="A2005" s="12" t="str">
        <f>HYPERLINK("https://drive.google.com/file/d/1udBsblb6wKMmIakODLaF1ba_dbV3rL9u/view?usp=drivesdk","Earth Defense Team Star Guardians Jumpchain.pdf")</f>
        <v>Earth Defense Team Star Guardians Jumpchain.pdf</v>
      </c>
      <c r="B2005" s="12" t="str">
        <f t="shared" si="194"/>
        <v>QQ Drive/Lewd</v>
      </c>
    </row>
    <row r="2006">
      <c r="A2006" s="12" t="str">
        <f>HYPERLINK("https://drive.google.com/file/d/1O2h-W4lDKPZSXYkiTpP4ynUPb-HgDIpi/view?usp=drivesdk","Kamikaze Kommittee Ouka.pdf")</f>
        <v>Kamikaze Kommittee Ouka.pdf</v>
      </c>
      <c r="B2006" s="12" t="str">
        <f t="shared" si="194"/>
        <v>QQ Drive/Lewd</v>
      </c>
    </row>
    <row r="2007">
      <c r="A2007" s="12" t="str">
        <f>HYPERLINK("https://drive.google.com/file/d/1ReWF1fKqKm6Lx8TlfdrXu6J-mirOoa4E/view?usp=drivesdk","Modded Skyrim.pdf")</f>
        <v>Modded Skyrim.pdf</v>
      </c>
      <c r="B2007" s="12" t="str">
        <f t="shared" si="194"/>
        <v>QQ Drive/Lewd</v>
      </c>
    </row>
    <row r="2008">
      <c r="A2008" s="12" t="str">
        <f>HYPERLINK("https://drive.google.com/file/d/1DnT4c1bfpL60TJXTo5bijWVwVz_yzlqg/view?usp=drivesdk","Elrk.pdf")</f>
        <v>Elrk.pdf</v>
      </c>
      <c r="B2008" s="12" t="str">
        <f t="shared" si="194"/>
        <v>QQ Drive/Lewd</v>
      </c>
    </row>
    <row r="2009">
      <c r="A2009" s="12" t="str">
        <f>HYPERLINK("https://drive.google.com/file/d/1QD4wXQc6u_PKU_8i9mQNdIhnq0gyAtHz/view?usp=drivesdk","Merry Marry.pdf")</f>
        <v>Merry Marry.pdf</v>
      </c>
      <c r="B2009" s="12" t="str">
        <f t="shared" si="194"/>
        <v>QQ Drive/Lewd</v>
      </c>
    </row>
    <row r="2010">
      <c r="A2010" s="12" t="str">
        <f>HYPERLINK("https://drive.google.com/file/d/1zT9jILsoZfROLOoJL-52ZgQgFXj8Nj_o/view?usp=drivesdk","Monster Hunter XXX Jumpchain 1.1.pdf")</f>
        <v>Monster Hunter XXX Jumpchain 1.1.pdf</v>
      </c>
      <c r="B2010" s="12" t="str">
        <f t="shared" si="194"/>
        <v>QQ Drive/Lewd</v>
      </c>
    </row>
    <row r="2011">
      <c r="A2011" s="12" t="str">
        <f>HYPERLINK("https://drive.google.com/file/d/1YkIq6MNRTBXBmK9JljrRDebxEyi_TOqh/view?usp=drivesdk","How Not to Summon a Demon Lord Jumpchain v2.0.pdf")</f>
        <v>How Not to Summon a Demon Lord Jumpchain v2.0.pdf</v>
      </c>
      <c r="B2011" s="12" t="str">
        <f t="shared" si="194"/>
        <v>QQ Drive/Lewd</v>
      </c>
    </row>
    <row r="2012">
      <c r="A2012" s="12" t="str">
        <f>HYPERLINK("https://drive.google.com/file/d/1RWYC6kzerDxB09Eixu33YKKFrAq-8gwD/view?usp=drivesdk","Ishuzoku Reviewers.pdf")</f>
        <v>Ishuzoku Reviewers.pdf</v>
      </c>
      <c r="B2012" s="12" t="str">
        <f t="shared" si="194"/>
        <v>QQ Drive/Lewd</v>
      </c>
    </row>
    <row r="2013">
      <c r="A2013" s="12" t="str">
        <f>HYPERLINK("https://drive.google.com/file/d/1jLrx2q29ScplIty3xTCIfFnTQ82ejSn-/view?usp=drivesdk","Kuroinu.pdf")</f>
        <v>Kuroinu.pdf</v>
      </c>
      <c r="B2013" s="12" t="str">
        <f t="shared" si="194"/>
        <v>QQ Drive/Lewd</v>
      </c>
    </row>
    <row r="2014">
      <c r="A2014" s="12" t="str">
        <f>HYPERLINK("https://drive.google.com/file/d/1DER7dHmmF7hFg1zKKq8QZPe8_FrqX0jS/view?usp=drivesdk","Bricola.pdf")</f>
        <v>Bricola.pdf</v>
      </c>
      <c r="B2014" s="12" t="str">
        <f t="shared" si="194"/>
        <v>QQ Drive/Lewd</v>
      </c>
    </row>
    <row r="2015">
      <c r="A2015" s="12" t="str">
        <f>HYPERLINK("https://drive.google.com/file/d/1Ro3I-MDTqctf-H8SUguDjDjHGKx0aKUc/view?usp=drivesdk","Masou Gakuen HxH Jumpchain 1.1.pdf")</f>
        <v>Masou Gakuen HxH Jumpchain 1.1.pdf</v>
      </c>
      <c r="B2015" s="12" t="str">
        <f t="shared" si="194"/>
        <v>QQ Drive/Lewd</v>
      </c>
    </row>
    <row r="2016">
      <c r="A2016" s="12" t="str">
        <f>HYPERLINK("https://drive.google.com/file/d/1Hk7Jd-QReKSKRWfsHirsVqTu622NH4H2/view?usp=drivesdk","Destiny - Fuck The Darkness.pdf")</f>
        <v>Destiny - Fuck The Darkness.pdf</v>
      </c>
      <c r="B2016" s="12" t="str">
        <f t="shared" si="194"/>
        <v>QQ Drive/Lewd</v>
      </c>
    </row>
    <row r="2017">
      <c r="A2017" s="12" t="str">
        <f>HYPERLINK("https://drive.google.com/file/d/1jZpIl5-RI3MFum1R_wb6Yr_YnvR3cWdP/view?usp=drivesdk","Seven Mortal Sins Jumpchain 1.1.pdf")</f>
        <v>Seven Mortal Sins Jumpchain 1.1.pdf</v>
      </c>
      <c r="B2017" s="12" t="str">
        <f t="shared" si="194"/>
        <v>QQ Drive/Lewd</v>
      </c>
    </row>
    <row r="2018">
      <c r="A2018" s="12" t="str">
        <f>HYPERLINK("https://drive.google.com/file/d/1SyAJuAFwzoyzHn-LH3HGICCxLJE0wOEA/view?usp=drivesdk","Monster Girl Quest JumpChain V2.0.pdf")</f>
        <v>Monster Girl Quest JumpChain V2.0.pdf</v>
      </c>
      <c r="B2018" s="12" t="str">
        <f t="shared" si="194"/>
        <v>QQ Drive/Lewd</v>
      </c>
    </row>
    <row r="2019">
      <c r="A2019" s="12" t="str">
        <f>HYPERLINK("https://drive.google.com/file/d/1PNParFEfvuJU9pQOUfAdKcnLQyrVFIzO/view?usp=drivesdk","Seikon No Qwaser Jumpchain.pdf")</f>
        <v>Seikon No Qwaser Jumpchain.pdf</v>
      </c>
      <c r="B2019" s="12" t="str">
        <f t="shared" si="194"/>
        <v>QQ Drive/Lewd</v>
      </c>
    </row>
    <row r="2020">
      <c r="A2020" s="12" t="str">
        <f>HYPERLINK("https://drive.google.com/file/d/1QykFSXCBkzWM_G7M28p7f6slGdpamwNt/view?usp=drivesdk","Empowered V1.0.pdf")</f>
        <v>Empowered V1.0.pdf</v>
      </c>
      <c r="B2020" s="12" t="str">
        <f t="shared" si="194"/>
        <v>QQ Drive/Lewd</v>
      </c>
    </row>
    <row r="2021">
      <c r="A2021" s="12" t="str">
        <f>HYPERLINK("https://drive.google.com/file/d/16nl4ixMSe_Cq6jS0MyFNz4N6Dq9waOuC/view?usp=drivesdk","The World of Moral Reversal JumpChain.pdf")</f>
        <v>The World of Moral Reversal JumpChain.pdf</v>
      </c>
      <c r="B2021" s="12" t="str">
        <f t="shared" si="194"/>
        <v>QQ Drive/Lewd</v>
      </c>
    </row>
    <row r="2022">
      <c r="A2022" s="12" t="str">
        <f>HYPERLINK("https://drive.google.com/file/d/1ZVGYVc7R-YAwlWhMadgA02p6LRcGkPcG/view?usp=drivesdk","The Pirate's Fate Jumpchain.pdf")</f>
        <v>The Pirate's Fate Jumpchain.pdf</v>
      </c>
      <c r="B2022" s="12" t="str">
        <f t="shared" si="194"/>
        <v>QQ Drive/Lewd</v>
      </c>
    </row>
    <row r="2023">
      <c r="A2023" s="12" t="str">
        <f>HYPERLINK("https://drive.google.com/file/d/1lNZ79oel3fiOcwtG90T75CaFOaj9DkKx/view?usp=drivesdk","PanzerWaltz Jumpchain.pdf")</f>
        <v>PanzerWaltz Jumpchain.pdf</v>
      </c>
      <c r="B2023" s="12" t="str">
        <f t="shared" si="194"/>
        <v>QQ Drive/Lewd</v>
      </c>
    </row>
    <row r="2024">
      <c r="A2024" s="12" t="str">
        <f>HYPERLINK("https://drive.google.com/file/d/1Rbo74ejrJDRozdTH3T3eqo5-DqwodCee/view?usp=drivesdk","Prina the Dungeoneering Princess Jumpchain.pdf")</f>
        <v>Prina the Dungeoneering Princess Jumpchain.pdf</v>
      </c>
      <c r="B2024" s="12" t="str">
        <f t="shared" si="194"/>
        <v>QQ Drive/Lewd</v>
      </c>
    </row>
    <row r="2025">
      <c r="A2025" s="12" t="str">
        <f>HYPERLINK("https://drive.google.com/file/d/1vj35VtLWrqqQ3lhDOVS4_Z_qu0W16sZN/view?usp=drivesdk","Mizuryu Kei Land Jump.pdf")</f>
        <v>Mizuryu Kei Land Jump.pdf</v>
      </c>
      <c r="B2025" s="12" t="str">
        <f t="shared" si="194"/>
        <v>QQ Drive/Lewd</v>
      </c>
    </row>
    <row r="2026">
      <c r="A2026" s="12" t="str">
        <f>HYPERLINK("https://drive.google.com/file/d/1ZUHFwvCIlaJCBKEXtFuPx-PeTInC3_uO/view?usp=drivesdk","Dulce Report Jumpchain.pdf")</f>
        <v>Dulce Report Jumpchain.pdf</v>
      </c>
      <c r="B2026" s="12" t="str">
        <f t="shared" si="194"/>
        <v>QQ Drive/Lewd</v>
      </c>
    </row>
    <row r="2027">
      <c r="A2027" s="12" t="str">
        <f>HYPERLINK("https://drive.google.com/file/d/1SH_NfiEaylSZfg92braD-DL6cVd2UOE3/view?usp=drivesdk","Haydee Jumpchain.pdf")</f>
        <v>Haydee Jumpchain.pdf</v>
      </c>
      <c r="B2027" s="12" t="str">
        <f t="shared" si="194"/>
        <v>QQ Drive/Lewd</v>
      </c>
    </row>
    <row r="2028">
      <c r="A2028" s="12" t="str">
        <f>HYPERLINK("https://drive.google.com/file/d/1rM3KYZ1mdSRJmOyxZsAdJ7oASQ6BxEmS/view?usp=drivesdk","Adam and Gaia.pdf")</f>
        <v>Adam and Gaia.pdf</v>
      </c>
      <c r="B2028" s="12" t="str">
        <f t="shared" si="194"/>
        <v>QQ Drive/Lewd</v>
      </c>
    </row>
    <row r="2029">
      <c r="A2029" s="12" t="str">
        <f>HYPERLINK("https://drive.google.com/file/d/1wIzHVH7qNIQFfqz7fl7DqNvjAVbpn3mO/view?usp=drivesdk","Collar 6 Jumpchain.pdf")</f>
        <v>Collar 6 Jumpchain.pdf</v>
      </c>
      <c r="B2029" s="12" t="str">
        <f t="shared" si="194"/>
        <v>QQ Drive/Lewd</v>
      </c>
    </row>
    <row r="2030">
      <c r="A2030" s="12" t="str">
        <f>HYPERLINK("https://drive.google.com/file/d/1-qFlWgDJXkUHBQ1idHOBM8vZnw13WBsW/view?usp=drivesdk","Dragonaut Jumpchain.pdf")</f>
        <v>Dragonaut Jumpchain.pdf</v>
      </c>
      <c r="B2030" s="12" t="str">
        <f t="shared" si="194"/>
        <v>QQ Drive/Lewd</v>
      </c>
    </row>
    <row r="2031">
      <c r="A2031" s="12" t="str">
        <f>HYPERLINK("https://drive.google.com/file/d/1rgRprjSpLyPzOwpzJoe1fX9_0smqXjTw/view?usp=drivesdk","Tokyo Akazukin JumpChain.pdf")</f>
        <v>Tokyo Akazukin JumpChain.pdf</v>
      </c>
      <c r="B2031" s="12" t="str">
        <f t="shared" si="194"/>
        <v>QQ Drive/Lewd</v>
      </c>
    </row>
    <row r="2032">
      <c r="A2032" s="12" t="str">
        <f>HYPERLINK("https://drive.google.com/file/d/171V-CVpAU_id510FYG40a4_CnzOqNayy/view?usp=drivesdk","Valkyrie Drive Mermaid Jumpchain.pdf")</f>
        <v>Valkyrie Drive Mermaid Jumpchain.pdf</v>
      </c>
      <c r="B2032" s="12" t="str">
        <f t="shared" si="194"/>
        <v>QQ Drive/Lewd</v>
      </c>
    </row>
    <row r="2033">
      <c r="A2033" s="12" t="str">
        <f>HYPERLINK("https://drive.google.com/file/d/1vonopJRehlOgy6jH5Mh6_vejqoqC7avK/view?usp=drivesdk","Winger_s World.pdf")</f>
        <v>Winger_s World.pdf</v>
      </c>
      <c r="B2033" s="12" t="str">
        <f t="shared" si="194"/>
        <v>QQ Drive/Lewd</v>
      </c>
    </row>
    <row r="2034">
      <c r="A2034" s="12" t="str">
        <f>HYPERLINK("https://drive.google.com/file/d/1GihaTSdPZJ3UatznslfS_OIiKj3HJPaJ/view?usp=drivesdk","Sei So Tsui Dan Sha JumpChain.pdf")</f>
        <v>Sei So Tsui Dan Sha JumpChain.pdf</v>
      </c>
      <c r="B2034" s="12" t="str">
        <f t="shared" si="194"/>
        <v>QQ Drive/Lewd</v>
      </c>
    </row>
    <row r="2035">
      <c r="A2035" s="12" t="str">
        <f>HYPERLINK("https://drive.google.com/file/d/1W71rL2C-vSc2oZZU6s-ygy5rKDsFCoa8/view?usp=drivesdk","The Lamuros Of Seven Colors.pdf")</f>
        <v>The Lamuros Of Seven Colors.pdf</v>
      </c>
      <c r="B2035" s="12" t="str">
        <f t="shared" si="194"/>
        <v>QQ Drive/Lewd</v>
      </c>
    </row>
    <row r="2036">
      <c r="A2036" s="12" t="str">
        <f>HYPERLINK("https://drive.google.com/file/d/1sLkkJbr7qyYtrBRN9q_7W2cPW_znbBVl/view?usp=drivesdk","Master of the Harem Guild.pdf")</f>
        <v>Master of the Harem Guild.pdf</v>
      </c>
      <c r="B2036" s="12" t="str">
        <f t="shared" si="194"/>
        <v>QQ Drive/Lewd</v>
      </c>
    </row>
    <row r="2037">
      <c r="A2037" s="12" t="str">
        <f>HYPERLINK("https://drive.google.com/file/d/1Uu2WaE3zOhl0mnKNbdQt5OCG94WoYO47/view?usp=drivesdk","Niplheim’s Hunter Jumpchain.pdf")</f>
        <v>Niplheim’s Hunter Jumpchain.pdf</v>
      </c>
      <c r="B2037" s="12" t="str">
        <f t="shared" si="194"/>
        <v>QQ Drive/Lewd</v>
      </c>
    </row>
    <row r="2038">
      <c r="A2038" s="12" t="str">
        <f>HYPERLINK("https://drive.google.com/file/d/1RaI-DO8S1zLNbLTBx6uKp77PK0AyUZpD/view?usp=drivesdk","Milk Hunters.pdf")</f>
        <v>Milk Hunters.pdf</v>
      </c>
      <c r="B2038" s="12" t="str">
        <f t="shared" si="194"/>
        <v>QQ Drive/Lewd</v>
      </c>
    </row>
    <row r="2039">
      <c r="A2039" s="12" t="str">
        <f>HYPERLINK("https://drive.google.com/file/d/1TT1l61Z0AXor7Gzn3ERsWW9ukhYLEagx/view?usp=drivesdk","Bio-Weapon Quest Jump.pdf")</f>
        <v>Bio-Weapon Quest Jump.pdf</v>
      </c>
      <c r="B2039" s="12" t="str">
        <f t="shared" si="194"/>
        <v>QQ Drive/Lewd</v>
      </c>
    </row>
    <row r="2040">
      <c r="A2040" s="12" t="str">
        <f>HYPERLINK("https://drive.google.com/file/d/163l_6Xt0XnBG26kLyVgihDlfmKpJln1R/view?usp=drivesdk","Radaslab's The Harem War (HP Fanfic) JumpChain.pdf")</f>
        <v>Radaslab's The Harem War (HP Fanfic) JumpChain.pdf</v>
      </c>
      <c r="B2040" s="12" t="str">
        <f t="shared" si="194"/>
        <v>QQ Drive/Lewd</v>
      </c>
    </row>
    <row r="2041">
      <c r="A2041" s="12" t="str">
        <f>HYPERLINK("https://drive.google.com/file/d/16ZBr8_D4venLxbBWT_hFFrvnmHikSY8m/view?usp=drivesdk","Miyuki-chan in Wonderland.pdf")</f>
        <v>Miyuki-chan in Wonderland.pdf</v>
      </c>
      <c r="B2041" s="12" t="str">
        <f t="shared" si="194"/>
        <v>QQ Drive/Lewd</v>
      </c>
    </row>
    <row r="2042">
      <c r="A2042" s="12" t="str">
        <f>HYPERLINK("https://drive.google.com/file/d/1RZ-a4XBI_Xy7z9MzonhR5pokGv8Srgqg/view?usp=drivesdk","Defiler Wings Jump.pdf")</f>
        <v>Defiler Wings Jump.pdf</v>
      </c>
      <c r="B2042" s="12" t="str">
        <f t="shared" si="194"/>
        <v>QQ Drive/Lewd</v>
      </c>
    </row>
    <row r="2043">
      <c r="A2043" s="12" t="str">
        <f>HYPERLINK("https://drive.google.com/file/d/1XXBbW1mL3E68Rcw-cQLfFRsEFeb4DjcZ/view?usp=drivesdk","Free Cities.pdf")</f>
        <v>Free Cities.pdf</v>
      </c>
      <c r="B2043" s="12" t="str">
        <f t="shared" si="194"/>
        <v>QQ Drive/Lewd</v>
      </c>
    </row>
    <row r="2044">
      <c r="A2044" s="12" t="str">
        <f>HYPERLINK("https://drive.google.com/file/d/1V0gJC0xwKl2TSbsVWjWBsoLXrip5Gbab/view?usp=drivesdk","Legend Of Queen Opala V1.1.pdf")</f>
        <v>Legend Of Queen Opala V1.1.pdf</v>
      </c>
      <c r="B2044" s="12" t="str">
        <f t="shared" si="194"/>
        <v>QQ Drive/Lewd</v>
      </c>
    </row>
    <row r="2045">
      <c r="A2045" s="12" t="str">
        <f>HYPERLINK("https://drive.google.com/file/d/11bEs7JJVzsgXMGSWWTUQ4xHskiyxoNTi/view?usp=drivesdk","Earth Girls.pdf")</f>
        <v>Earth Girls.pdf</v>
      </c>
      <c r="B2045" s="12" t="str">
        <f t="shared" si="194"/>
        <v>QQ Drive/Lewd</v>
      </c>
    </row>
    <row r="2046">
      <c r="A2046" s="12" t="str">
        <f>HYPERLINK("https://drive.google.com/file/d/0Bz4DhE64sN7eOEgwYXZXSlpkdU0/view?usp=drivesdk&amp;resourcekey=0-X_mc9f3Ka2rlJOwv-LafMg","Flexible Survival (31-08-2017).pdf")</f>
        <v>Flexible Survival (31-08-2017).pdf</v>
      </c>
      <c r="B2046" s="12" t="str">
        <f t="shared" si="194"/>
        <v>QQ Drive/Lewd</v>
      </c>
    </row>
    <row r="2047">
      <c r="A2047" s="12" t="str">
        <f>HYPERLINK("https://drive.google.com/file/d/0By8NY-NO4-N5XzRjMHRYT1lMUzg/view?usp=drivesdk&amp;resourcekey=0-Bu4kdSUv8yGeEDIOyo-n5Q","Queen's Blade.pdf")</f>
        <v>Queen's Blade.pdf</v>
      </c>
      <c r="B2047" s="12" t="str">
        <f t="shared" si="194"/>
        <v>QQ Drive/Lewd</v>
      </c>
    </row>
    <row r="2048">
      <c r="A2048" s="12" t="str">
        <f>HYPERLINK("https://drive.google.com/file/d/0By8NY-NO4-N5dERlU2g1X2w2REE/view?usp=drivesdk&amp;resourcekey=0-Cezp7ABY390s6lkMfcu5Sg","Monster Musume no Iru Nichijou.pdf")</f>
        <v>Monster Musume no Iru Nichijou.pdf</v>
      </c>
      <c r="B2048" s="12" t="str">
        <f t="shared" si="194"/>
        <v>QQ Drive/Lewd</v>
      </c>
    </row>
    <row r="2049">
      <c r="A2049" s="12" t="str">
        <f>HYPERLINK("https://drive.google.com/file/d/0By8NY-NO4-N5Mkl6Y2phM25JNXc/view?usp=drivesdk&amp;resourcekey=0-zmw5PKtncAYqsicaWWSIeA","Katawa Shoujo.pdf")</f>
        <v>Katawa Shoujo.pdf</v>
      </c>
      <c r="B2049" s="12" t="str">
        <f t="shared" si="194"/>
        <v>QQ Drive/Lewd</v>
      </c>
    </row>
    <row r="2050">
      <c r="A2050" s="12" t="str">
        <f>HYPERLINK("https://drive.google.com/file/d/0By8NY-NO4-N5NFd6bjFDZ29ROFE/view?usp=drivesdk&amp;resourcekey=0-AuYyBC5ymLe68XQenus2Mw","Corruption of Champions (CoC).pdf")</f>
        <v>Corruption of Champions (CoC).pdf</v>
      </c>
      <c r="B2050" s="12" t="str">
        <f t="shared" si="194"/>
        <v>QQ Drive/Lewd</v>
      </c>
    </row>
    <row r="2051">
      <c r="A2051" s="12" t="str">
        <f>HYPERLINK("https://drive.google.com/file/d/1iHxQhgPChqsZ3e75UQJ6cr8hClsSURhs/view?usp=drivesdk","Fate / Loli Order - Magical Girl Fucking Marathon.pdf")</f>
        <v>Fate / Loli Order - Magical Girl Fucking Marathon.pdf</v>
      </c>
      <c r="B2051" s="12" t="str">
        <f t="shared" ref="B2051:B2056" si="195">HYPERLINK("https://drive.google.com/drive/folders/1XLB9PDNcckmDK2dLGzVth5WZ6B0INp1A","QQ Drive/Lewd/Type Moon / Fate")</f>
        <v>QQ Drive/Lewd/Type Moon / Fate</v>
      </c>
    </row>
    <row r="2052">
      <c r="A2052" s="12" t="str">
        <f>HYPERLINK("https://drive.google.com/file/d/1UwDc0cgsP_6Z-aC2QWJU7657zF36BHHb/view?usp=drivesdk","Fate / Horse Order - Class Bestiality.pdf")</f>
        <v>Fate / Horse Order - Class Bestiality.pdf</v>
      </c>
      <c r="B2052" s="12" t="str">
        <f t="shared" si="195"/>
        <v>QQ Drive/Lewd/Type Moon / Fate</v>
      </c>
    </row>
    <row r="2053">
      <c r="A2053" s="12" t="str">
        <f>HYPERLINK("https://drive.google.com/file/d/1N3LvasAuXP1YR5JFabvwvzd5BnW_t3T1/view?usp=drivesdk","Fate / Worm Night - Kotori.pdf")</f>
        <v>Fate / Worm Night - Kotori.pdf</v>
      </c>
      <c r="B2053" s="12" t="str">
        <f t="shared" si="195"/>
        <v>QQ Drive/Lewd/Type Moon / Fate</v>
      </c>
    </row>
    <row r="2054">
      <c r="A2054" s="12" t="str">
        <f>HYPERLINK("https://drive.google.com/file/d/19z5-Oo7ZuD2-sOJRoI-e9BJNfvcy_EI4/view?usp=drivesdk","Fate / Grand Master Jumpchain.pdf")</f>
        <v>Fate / Grand Master Jumpchain.pdf</v>
      </c>
      <c r="B2054" s="12" t="str">
        <f t="shared" si="195"/>
        <v>QQ Drive/Lewd/Type Moon / Fate</v>
      </c>
    </row>
    <row r="2055">
      <c r="A2055" s="12" t="str">
        <f>HYPERLINK("https://drive.google.com/file/d/1gPUO39CUHlDGnzLnkz70TcO7lGGrmu8r/view?usp=drivesdk","Fate / Blacked Jumpchain.pdf")</f>
        <v>Fate / Blacked Jumpchain.pdf</v>
      </c>
      <c r="B2055" s="12" t="str">
        <f t="shared" si="195"/>
        <v>QQ Drive/Lewd/Type Moon / Fate</v>
      </c>
    </row>
    <row r="2056">
      <c r="A2056" s="12" t="str">
        <f>HYPERLINK("https://drive.google.com/file/d/1vzlsPyV6zFuHFzhQG4R5WxleILQZHtS4/view?usp=drivesdk","Fate / Whore Order - Chaldea Bitch.pdf")</f>
        <v>Fate / Whore Order - Chaldea Bitch.pdf</v>
      </c>
      <c r="B2056" s="12" t="str">
        <f t="shared" si="195"/>
        <v>QQ Drive/Lewd/Type Moon / Fate</v>
      </c>
    </row>
    <row r="2057">
      <c r="A2057" s="12" t="str">
        <f>HYPERLINK("https://drive.google.com/file/d/1qs4W9PC0VC1IrizhJuK8hWJRejGOrsR7/view?usp=drivesdk","Rance 01 - The Quest For Hikari- (scenario update).pdf")</f>
        <v>Rance 01 - The Quest For Hikari- (scenario update).pdf</v>
      </c>
      <c r="B2057" s="12" t="str">
        <f t="shared" ref="B2057:B2061" si="196">HYPERLINK("https://drive.google.com/drive/folders/1AJYxljqD6ankJtwdZqn0A7ulWhTITKrm","QQ Drive/Lewd/Rance")</f>
        <v>QQ Drive/Lewd/Rance</v>
      </c>
    </row>
    <row r="2058">
      <c r="A2058" s="12" t="str">
        <f>HYPERLINK("https://drive.google.com/file/d/1p9pCeGX5ELBC2bI9HIMRJHFjmiYjnnoz/view?usp=drivesdk","Rance 03 - The Fall Of Leazas.pdf")</f>
        <v>Rance 03 - The Fall Of Leazas.pdf</v>
      </c>
      <c r="B2058" s="12" t="str">
        <f t="shared" si="196"/>
        <v>QQ Drive/Lewd/Rance</v>
      </c>
    </row>
    <row r="2059">
      <c r="A2059" s="12" t="str">
        <f>HYPERLINK("https://drive.google.com/file/d/1Dj6o26nan4AoLzmVqhNWirrOydKXPzS0/view?usp=drivesdk","Rance 02 - The Rebelious Maidens.pdf")</f>
        <v>Rance 02 - The Rebelious Maidens.pdf</v>
      </c>
      <c r="B2059" s="12" t="str">
        <f t="shared" si="196"/>
        <v>QQ Drive/Lewd/Rance</v>
      </c>
    </row>
    <row r="2060">
      <c r="A2060" s="12" t="str">
        <f>HYPERLINK("https://drive.google.com/file/d/1TYsZQlqXcRU24Qp5XX2KOSRettE1YJmN/view?usp=drivesdk","Rance Old Continuity.pdf")</f>
        <v>Rance Old Continuity.pdf</v>
      </c>
      <c r="B2060" s="12" t="str">
        <f t="shared" si="196"/>
        <v>QQ Drive/Lewd/Rance</v>
      </c>
    </row>
    <row r="2061">
      <c r="A2061" s="12" t="str">
        <f>HYPERLINK("https://drive.google.com/file/d/1k3GRrXY3b30g2Jb9GboYMrE_a7tR_FoJ/view?usp=drivesdk","Sengoku Rance.pdf")</f>
        <v>Sengoku Rance.pdf</v>
      </c>
      <c r="B2061" s="12" t="str">
        <f t="shared" si="196"/>
        <v>QQ Drive/Lewd/Rance</v>
      </c>
    </row>
    <row r="2062">
      <c r="A2062" s="12" t="str">
        <f>HYPERLINK("https://drive.google.com/file/d/1MPOsh0C4usCZxJFWMwXItm_fzao0F2nb/view?usp=drivesdk","Generic Pirate V1.0.pdf")</f>
        <v>Generic Pirate V1.0.pdf</v>
      </c>
      <c r="B2062" s="12" t="str">
        <f t="shared" ref="B2062:B2084" si="197">HYPERLINK("https://drive.google.com/drive/folders/1OmWFqlD8sqhBo-Z8hhO1zLhYsdBE6J2x","QQ Drive/Lewd/Generics")</f>
        <v>QQ Drive/Lewd/Generics</v>
      </c>
    </row>
    <row r="2063">
      <c r="A2063" s="12" t="str">
        <f>HYPERLINK("https://drive.google.com/file/d/1zv0fbsBMdxpLAlhXiexnK4N8-gBVZNfJ/view?usp=drivesdk","Generic Norithics Jump Version 0.6.pdf")</f>
        <v>Generic Norithics Jump Version 0.6.pdf</v>
      </c>
      <c r="B2063" s="12" t="str">
        <f t="shared" si="197"/>
        <v>QQ Drive/Lewd/Generics</v>
      </c>
    </row>
    <row r="2064">
      <c r="A2064" s="12" t="str">
        <f>HYPERLINK("https://drive.google.com/file/d/1zPo00xXg-x3Mj1e5b8l5KyWUl9zRb55s/view?usp=drivesdk","GenericLoliJump.pdf")</f>
        <v>GenericLoliJump.pdf</v>
      </c>
      <c r="B2064" s="12" t="str">
        <f t="shared" si="197"/>
        <v>QQ Drive/Lewd/Generics</v>
      </c>
    </row>
    <row r="2065">
      <c r="A2065" s="12" t="str">
        <f>HYPERLINK("https://drive.google.com/file/d/1c-lX3u9VxuZWgSJ1cHN1N0ruNXkQM4E5/view?usp=drivesdk","Generic Virgin Jump v1.3.pdf")</f>
        <v>Generic Virgin Jump v1.3.pdf</v>
      </c>
      <c r="B2065" s="12" t="str">
        <f t="shared" si="197"/>
        <v>QQ Drive/Lewd/Generics</v>
      </c>
    </row>
    <row r="2066">
      <c r="A2066" s="12" t="str">
        <f>HYPERLINK("https://drive.google.com/file/d/1USj6bQAI9AXt99Y24p2V__ZJfJv4hQrS/view?usp=drivesdk","Generic Shota.pdf")</f>
        <v>Generic Shota.pdf</v>
      </c>
      <c r="B2066" s="12" t="str">
        <f t="shared" si="197"/>
        <v>QQ Drive/Lewd/Generics</v>
      </c>
    </row>
    <row r="2067">
      <c r="A2067" s="12" t="str">
        <f>HYPERLINK("https://drive.google.com/file/d/1a6WBfzMUC3Fygb5WqSMCV3ICT0O1I6nU/view?usp=drivesdk","World of Tentacles Jumpchain v2.0.pdf")</f>
        <v>World of Tentacles Jumpchain v2.0.pdf</v>
      </c>
      <c r="B2067" s="12" t="str">
        <f t="shared" si="197"/>
        <v>QQ Drive/Lewd/Generics</v>
      </c>
    </row>
    <row r="2068">
      <c r="A2068" s="12" t="str">
        <f>HYPERLINK("https://drive.google.com/file/d/1x_Gykte0Q4_lB3etXijnMn3DNMY6H1An/view?usp=drivesdk","Generic Hentai World.pdf")</f>
        <v>Generic Hentai World.pdf</v>
      </c>
      <c r="B2068" s="12" t="str">
        <f t="shared" si="197"/>
        <v>QQ Drive/Lewd/Generics</v>
      </c>
    </row>
    <row r="2069">
      <c r="A2069" s="12" t="str">
        <f>HYPERLINK("https://drive.google.com/file/d/1k4GdlcKaGxKivfATD6NBmE36JO6CyTJt/view?usp=drivesdk","Vore CYOA - No Images.pdf")</f>
        <v>Vore CYOA - No Images.pdf</v>
      </c>
      <c r="B2069" s="12" t="str">
        <f t="shared" si="197"/>
        <v>QQ Drive/Lewd/Generics</v>
      </c>
    </row>
    <row r="2070">
      <c r="A2070" s="12" t="str">
        <f>HYPERLINK("https://drive.google.com/file/d/1-RTrdZXG2VJHlUIXc3qT6SWptZWdX2GM/view?usp=drivesdk","Vore CYOA.pdf")</f>
        <v>Vore CYOA.pdf</v>
      </c>
      <c r="B2070" s="12" t="str">
        <f t="shared" si="197"/>
        <v>QQ Drive/Lewd/Generics</v>
      </c>
    </row>
    <row r="2071">
      <c r="A2071" s="12" t="str">
        <f>HYPERLINK("https://drive.google.com/file/d/1brKzZf1Os7CRq1S9gjjCZKLDDnjyJJR4/view?usp=drivesdk","Generic Hentai Fantasy.pdf")</f>
        <v>Generic Hentai Fantasy.pdf</v>
      </c>
      <c r="B2071" s="12" t="str">
        <f t="shared" si="197"/>
        <v>QQ Drive/Lewd/Generics</v>
      </c>
    </row>
    <row r="2072">
      <c r="A2072" s="12" t="str">
        <f>HYPERLINK("https://drive.google.com/file/d/1j3jfbXWni3L6okPd-fFPV8WOAm_CXs_n/view?usp=drivesdk","Generic Hentai Modern.pdf")</f>
        <v>Generic Hentai Modern.pdf</v>
      </c>
      <c r="B2072" s="12" t="str">
        <f t="shared" si="197"/>
        <v>QQ Drive/Lewd/Generics</v>
      </c>
    </row>
    <row r="2073">
      <c r="A2073" s="12" t="str">
        <f>HYPERLINK("https://drive.google.com/file/d/110XrioRzRO0vUu-c12YQ456VCgp1m7QB/view?usp=drivesdk","Generic BDSM Jumpchain.pdf")</f>
        <v>Generic BDSM Jumpchain.pdf</v>
      </c>
      <c r="B2073" s="12" t="str">
        <f t="shared" si="197"/>
        <v>QQ Drive/Lewd/Generics</v>
      </c>
    </row>
    <row r="2074">
      <c r="A2074" s="12" t="str">
        <f>HYPERLINK("https://drive.google.com/file/d/1jS13U5NWoypdaVjhaORazyfMPlrnnENw/view?usp=drivesdk","Generic Lewd Science Fiction.pdf")</f>
        <v>Generic Lewd Science Fiction.pdf</v>
      </c>
      <c r="B2074" s="12" t="str">
        <f t="shared" si="197"/>
        <v>QQ Drive/Lewd/Generics</v>
      </c>
    </row>
    <row r="2075">
      <c r="A2075" s="12" t="str">
        <f>HYPERLINK("https://drive.google.com/file/d/1FYaijdN7YEhxXCGe5xv3vwmQrSpok5u2/view?usp=drivesdk","Generic Fat Fetish Jumpchain.pdf")</f>
        <v>Generic Fat Fetish Jumpchain.pdf</v>
      </c>
      <c r="B2075" s="12" t="str">
        <f t="shared" si="197"/>
        <v>QQ Drive/Lewd/Generics</v>
      </c>
    </row>
    <row r="2076">
      <c r="A2076" s="12" t="str">
        <f>HYPERLINK("https://drive.google.com/file/d/1pW2HF3DhHfuh6fekxm8M1PDul9Y5_1WT/view?usp=drivesdk","Generic Hentai Magical Girl.pdf")</f>
        <v>Generic Hentai Magical Girl.pdf</v>
      </c>
      <c r="B2076" s="12" t="str">
        <f t="shared" si="197"/>
        <v>QQ Drive/Lewd/Generics</v>
      </c>
    </row>
    <row r="2077">
      <c r="A2077" s="12" t="str">
        <f>HYPERLINK("https://drive.google.com/file/d/1CYsd3BnAo3pENtJPWYE3MCSA_ZYVoVta/view?usp=drivesdk","Generic Hentai Occult (2).pdf")</f>
        <v>Generic Hentai Occult (2).pdf</v>
      </c>
      <c r="B2077" s="12" t="str">
        <f t="shared" si="197"/>
        <v>QQ Drive/Lewd/Generics</v>
      </c>
    </row>
    <row r="2078">
      <c r="A2078" s="12" t="str">
        <f>HYPERLINK("https://drive.google.com/file/d/136pgJbu8IEnqXtFtHL-jGREjpb4XI1hT/view?usp=drivesdk","Generic Incest Jump.pdf")</f>
        <v>Generic Incest Jump.pdf</v>
      </c>
      <c r="B2078" s="12" t="str">
        <f t="shared" si="197"/>
        <v>QQ Drive/Lewd/Generics</v>
      </c>
    </row>
    <row r="2079">
      <c r="A2079" s="12" t="str">
        <f>HYPERLINK("https://drive.google.com/file/d/1SjVOh6nvhzWf5Jmm29FvHPtCWrWmezgt/view?usp=drivesdk","Doujinshi High School.pdf")</f>
        <v>Doujinshi High School.pdf</v>
      </c>
      <c r="B2079" s="12" t="str">
        <f t="shared" si="197"/>
        <v>QQ Drive/Lewd/Generics</v>
      </c>
    </row>
    <row r="2080">
      <c r="A2080" s="12" t="str">
        <f>HYPERLINK("https://drive.google.com/file/d/19roavgSBrfGbb780m0pr7n6zsn0f3jSu/view?usp=drivesdk","Lewd School.pdf")</f>
        <v>Lewd School.pdf</v>
      </c>
      <c r="B2080" s="12" t="str">
        <f t="shared" si="197"/>
        <v>QQ Drive/Lewd/Generics</v>
      </c>
    </row>
    <row r="2081">
      <c r="A2081" s="12" t="str">
        <f>HYPERLINK("https://drive.google.com/file/d/0By8NY-NO4-N5bkxUczE4VFluNFU/view?usp=drivesdk&amp;resourcekey=0-saiDSGnHS-15sZlXP3w2ww","Lewd Jump.pdf")</f>
        <v>Lewd Jump.pdf</v>
      </c>
      <c r="B2081" s="12" t="str">
        <f t="shared" si="197"/>
        <v>QQ Drive/Lewd/Generics</v>
      </c>
    </row>
    <row r="2082">
      <c r="A2082" s="12" t="str">
        <f>HYPERLINK("https://drive.google.com/file/d/1aq-8eVMvQey7pWc9xRqMyNu70LgNRyga/view?usp=drivesdk","Casual Sex World.pdf")</f>
        <v>Casual Sex World.pdf</v>
      </c>
      <c r="B2082" s="12" t="str">
        <f t="shared" si="197"/>
        <v>QQ Drive/Lewd/Generics</v>
      </c>
    </row>
    <row r="2083">
      <c r="A2083" s="12" t="str">
        <f>HYPERLINK("https://drive.google.com/file/d/0B0h0H638Fs4EaTExZWNHNE9FUFE/view?usp=drivesdk&amp;resourcekey=0-9aPd3TDyelm8WAIB2-6Gkw","Generic Hentai Superheros.pdf")</f>
        <v>Generic Hentai Superheros.pdf</v>
      </c>
      <c r="B2083" s="12" t="str">
        <f t="shared" si="197"/>
        <v>QQ Drive/Lewd/Generics</v>
      </c>
    </row>
    <row r="2084">
      <c r="A2084" s="12" t="str">
        <f>HYPERLINK("https://drive.google.com/file/d/0By8NY-NO4-N5LXBjZU5VaGpHazA/view?usp=drivesdk&amp;resourcekey=0-Ic4SN3dtQ6TdovX1SVC-dQ","Generic Hentai Tentacles.pdf")</f>
        <v>Generic Hentai Tentacles.pdf</v>
      </c>
      <c r="B2084" s="12" t="str">
        <f t="shared" si="197"/>
        <v>QQ Drive/Lewd/Generics</v>
      </c>
    </row>
    <row r="2085">
      <c r="A2085" s="12" t="str">
        <f>HYPERLINK("https://drive.google.com/file/d/157YpEFLHEXJhvi6e0KgyxyRzB0tGHCl0/view?usp=drivesdk","Pokegirls.pdf")</f>
        <v>Pokegirls.pdf</v>
      </c>
      <c r="B2085" s="12" t="str">
        <f t="shared" ref="B2085:B2086" si="198">HYPERLINK("https://drive.google.com/drive/folders/1UCE31qMo1t1OdvcTeAs2xQecIe05Z1ZM","QQ Drive/Lewd/Pokegirls")</f>
        <v>QQ Drive/Lewd/Pokegirls</v>
      </c>
    </row>
    <row r="2086">
      <c r="A2086" s="12" t="str">
        <f>HYPERLINK("https://drive.google.com/file/d/19aYcMK_fU-UmDgs2T0u1nxtg8dkckeO9/view?usp=drivesdk","Pokegirl Pokedex2")</f>
        <v>Pokegirl Pokedex2</v>
      </c>
      <c r="B2086" s="12" t="str">
        <f t="shared" si="198"/>
        <v>QQ Drive/Lewd/Pokegirls</v>
      </c>
    </row>
    <row r="2087">
      <c r="A2087" s="12" t="str">
        <f>HYPERLINK("https://drive.google.com/file/d/13l7Oc2UmNxz5vV-ABmGJ99Nik6ErgOpX/view?usp=drivesdk","Copy of Average Abilities .6 WIP.pdf")</f>
        <v>Copy of Average Abilities .6 WIP.pdf</v>
      </c>
      <c r="B2087" s="12" t="str">
        <f t="shared" ref="B2087:B2090" si="199">HYPERLINK("https://drive.google.com/drive/folders/1qzYqpTDqQNnXBYPZ3Ul5fdCCtFQSt-ry","Reddit Jumpchain Drive/Not Completed")</f>
        <v>Reddit Jumpchain Drive/Not Completed</v>
      </c>
    </row>
    <row r="2088">
      <c r="A2088" s="12" t="str">
        <f>HYPERLINK("https://drive.google.com/file/d/1u5QTDRmzXl_Dl23AjHZ8u5kIs-igSYoT/view?usp=drivesdk","Xanth Jumpchain.pdf")</f>
        <v>Xanth Jumpchain.pdf</v>
      </c>
      <c r="B2088" s="12" t="str">
        <f t="shared" si="199"/>
        <v>Reddit Jumpchain Drive/Not Completed</v>
      </c>
    </row>
    <row r="2089">
      <c r="A2089" s="12" t="str">
        <f>HYPERLINK("https://docs.google.com/document/d/1JtT0mhJ0IAjXsaoW9qW6boT5uAvBBmPf/edit?usp=drivesdk&amp;ouid=115153177157280896651&amp;rtpof=true&amp;sd=true","Live A Live Jump.docx")</f>
        <v>Live A Live Jump.docx</v>
      </c>
      <c r="B2089" s="12" t="str">
        <f t="shared" si="199"/>
        <v>Reddit Jumpchain Drive/Not Completed</v>
      </c>
    </row>
    <row r="2090">
      <c r="A2090" s="12" t="str">
        <f>HYPERLINK("https://drive.google.com/file/d/1crGivswfLpEbh_sakFr1qX7AQ7pcvjJT/view?usp=drivesdk","Average Abilities .6 WIP.pdf")</f>
        <v>Average Abilities .6 WIP.pdf</v>
      </c>
      <c r="B2090" s="12" t="str">
        <f t="shared" si="199"/>
        <v>Reddit Jumpchain Drive/Not Completed</v>
      </c>
    </row>
    <row r="2091">
      <c r="A2091" s="12" t="str">
        <f>HYPERLINK("https://drive.google.com/file/d/1Qq9hWyfx0yPWA7Q5iK17Di97QvE8_lzL/view?usp=drivesdk","Mortal Instruments Jump 1.3.pdf")</f>
        <v>Mortal Instruments Jump 1.3.pdf</v>
      </c>
      <c r="B2091" s="12" t="str">
        <f t="shared" ref="B2091:B2581" si="200">HYPERLINK("https://drive.google.com/drive/folders/125fmUW_VK2inD7AGzbGOEEr2z4i_AQyX","Reddit Jumpchain Drive/Completed")</f>
        <v>Reddit Jumpchain Drive/Completed</v>
      </c>
    </row>
    <row r="2092">
      <c r="A2092" s="12" t="str">
        <f>HYPERLINK("https://drive.google.com/file/d/104RLwwheShwA9XgLl06-xEcrWd2jvq4E/view?usp=drivesdk","The Wheel of Time jump 1.1.pdf")</f>
        <v>The Wheel of Time jump 1.1.pdf</v>
      </c>
      <c r="B2092" s="12" t="str">
        <f t="shared" si="200"/>
        <v>Reddit Jumpchain Drive/Completed</v>
      </c>
    </row>
    <row r="2093">
      <c r="A2093" s="12" t="str">
        <f>HYPERLINK("https://drive.google.com/file/d/13xAI8h22EFIcNnL4HVLNdrJq45db9Nzg/view?usp=drivesdk","The Wheel of Time jump 1.0.pdf")</f>
        <v>The Wheel of Time jump 1.0.pdf</v>
      </c>
      <c r="B2093" s="12" t="str">
        <f t="shared" si="200"/>
        <v>Reddit Jumpchain Drive/Completed</v>
      </c>
    </row>
    <row r="2094">
      <c r="A2094" s="12" t="str">
        <f>HYPERLINK("https://drive.google.com/file/d/1WY0BtnhzAvK-HcAVxCHVfFiqVCqvS4Te/view?usp=drivesdk","Heavy Object JumpChain 1.0.pdf")</f>
        <v>Heavy Object JumpChain 1.0.pdf</v>
      </c>
      <c r="B2094" s="12" t="str">
        <f t="shared" si="200"/>
        <v>Reddit Jumpchain Drive/Completed</v>
      </c>
    </row>
    <row r="2095">
      <c r="A2095" s="12" t="str">
        <f>HYPERLINK("https://drive.google.com/file/d/1nqoLg8QcUUp_2SmpjNIUY6Ht6haXoYN-/view?usp=drivesdk","Senran Kagura Reddit version 0.21.pdf")</f>
        <v>Senran Kagura Reddit version 0.21.pdf</v>
      </c>
      <c r="B2095" s="12" t="str">
        <f t="shared" si="200"/>
        <v>Reddit Jumpchain Drive/Completed</v>
      </c>
    </row>
    <row r="2096">
      <c r="A2096" s="12" t="str">
        <f>HYPERLINK("https://drive.google.com/file/d/1Li8-ZHudh_dRqzhgNZD4oRzZa5U1V5LB/view?usp=drivesdk","SoulSacrifice_Single_v1.1.pdf")</f>
        <v>SoulSacrifice_Single_v1.1.pdf</v>
      </c>
      <c r="B2096" s="12" t="str">
        <f t="shared" si="200"/>
        <v>Reddit Jumpchain Drive/Completed</v>
      </c>
    </row>
    <row r="2097">
      <c r="A2097" s="12" t="str">
        <f>HYPERLINK("https://drive.google.com/file/d/11Z7enFbKO-QWdjPO-_VTsJxol6dwWG2c/view?usp=drivesdk","SoulSacrifice_Double_v1.1.pdf")</f>
        <v>SoulSacrifice_Double_v1.1.pdf</v>
      </c>
      <c r="B2097" s="12" t="str">
        <f t="shared" si="200"/>
        <v>Reddit Jumpchain Drive/Completed</v>
      </c>
    </row>
    <row r="2098">
      <c r="A2098" s="12" t="str">
        <f>HYPERLINK("https://drive.google.com/file/d/1fh-OY_8Oz-CkZu1qylHY4696rtxOqXT5/view?usp=drivesdk","SoulSacrifice_v1.0.pdf")</f>
        <v>SoulSacrifice_v1.0.pdf</v>
      </c>
      <c r="B2098" s="12" t="str">
        <f t="shared" si="200"/>
        <v>Reddit Jumpchain Drive/Completed</v>
      </c>
    </row>
    <row r="2099">
      <c r="A2099" s="12" t="str">
        <f>HYPERLINK("https://drive.google.com/file/d/1c0n95206dSZ1SPQd8cWALwxHDEsOImsl/view?usp=drivesdk","WoD_ Sorcerer Jumpchain 2.5.pdf")</f>
        <v>WoD_ Sorcerer Jumpchain 2.5.pdf</v>
      </c>
      <c r="B2099" s="12" t="str">
        <f t="shared" si="200"/>
        <v>Reddit Jumpchain Drive/Completed</v>
      </c>
    </row>
    <row r="2100">
      <c r="A2100" s="12" t="str">
        <f>HYPERLINK("https://drive.google.com/file/d/1rnOPBQ0H3RwHBDIWrgZ9i7rpGbjWHLMz/view?usp=drivesdk","_Senran Kagura version 0.2.pdf")</f>
        <v>_Senran Kagura version 0.2.pdf</v>
      </c>
      <c r="B2100" s="12" t="str">
        <f t="shared" si="200"/>
        <v>Reddit Jumpchain Drive/Completed</v>
      </c>
    </row>
    <row r="2101">
      <c r="A2101" s="12" t="str">
        <f>HYPERLINK("https://drive.google.com/file/d/1mtP-rDHR3v5xtS6hNcMZ-ixGIlgX0TXx/view?usp=drivesdk","Senran Kagura Reddit version 0.2.pdf")</f>
        <v>Senran Kagura Reddit version 0.2.pdf</v>
      </c>
      <c r="B2101" s="12" t="str">
        <f t="shared" si="200"/>
        <v>Reddit Jumpchain Drive/Completed</v>
      </c>
    </row>
    <row r="2102">
      <c r="A2102" s="12" t="str">
        <f>HYPERLINK("https://drive.google.com/file/d/1oIMEQBIM7R1hnp3nPRcheW11T4Tmib97/view?usp=drivesdk","Mortal Instruments Jump 1.2.pdf")</f>
        <v>Mortal Instruments Jump 1.2.pdf</v>
      </c>
      <c r="B2102" s="12" t="str">
        <f t="shared" si="200"/>
        <v>Reddit Jumpchain Drive/Completed</v>
      </c>
    </row>
    <row r="2103">
      <c r="A2103" s="12" t="str">
        <f>HYPERLINK("https://drive.google.com/file/d/16TM_Hc-wiziC_c0GvuX7YGqtQ0hmHjAG/view?usp=drivesdk","Mortal Instruments Jump 1.1.pdf")</f>
        <v>Mortal Instruments Jump 1.1.pdf</v>
      </c>
      <c r="B2103" s="12" t="str">
        <f t="shared" si="200"/>
        <v>Reddit Jumpchain Drive/Completed</v>
      </c>
    </row>
    <row r="2104">
      <c r="A2104" s="12" t="str">
        <f>HYPERLINK("https://drive.google.com/file/d/1bAzx8s9TWf5x0o0zDqHJlpAIrOCNXopo/view?usp=drivesdk","Mortal Instruments Jump.pdf")</f>
        <v>Mortal Instruments Jump.pdf</v>
      </c>
      <c r="B2104" s="12" t="str">
        <f t="shared" si="200"/>
        <v>Reddit Jumpchain Drive/Completed</v>
      </c>
    </row>
    <row r="2105">
      <c r="A2105" s="12" t="str">
        <f>HYPERLINK("https://drive.google.com/file/d/1cqaycubtm4LxgsxUGqTPOmdQUhVeFuMK/view?usp=drivesdk","Brave Frontier_ The Last Summoner Jumpchain.pdf")</f>
        <v>Brave Frontier_ The Last Summoner Jumpchain.pdf</v>
      </c>
      <c r="B2105" s="12" t="str">
        <f t="shared" si="200"/>
        <v>Reddit Jumpchain Drive/Completed</v>
      </c>
    </row>
    <row r="2106">
      <c r="A2106" s="12" t="str">
        <f>HYPERLINK("https://drive.google.com/file/d/16dza2VHrOjOGIVh5m5nQIwensSg9x47m/view?usp=drivesdk","DmC; Devil May Cry (The Reboot) Jump 1.3.pdf")</f>
        <v>DmC; Devil May Cry (The Reboot) Jump 1.3.pdf</v>
      </c>
      <c r="B2106" s="12" t="str">
        <f t="shared" si="200"/>
        <v>Reddit Jumpchain Drive/Completed</v>
      </c>
    </row>
    <row r="2107">
      <c r="A2107" s="12" t="str">
        <f>HYPERLINK("https://drive.google.com/file/d/13B0dCnRRM51f5j34zbaqFMOza0fI9pKz/view?usp=drivesdk","Di-Gata Defenders 1.0.pdf")</f>
        <v>Di-Gata Defenders 1.0.pdf</v>
      </c>
      <c r="B2107" s="12" t="str">
        <f t="shared" si="200"/>
        <v>Reddit Jumpchain Drive/Completed</v>
      </c>
    </row>
    <row r="2108">
      <c r="A2108" s="12" t="str">
        <f>HYPERLINK("https://drive.google.com/file/d/1W3ojG12CRrBfjfkM48yverN3wwGRhmbK/view?usp=drivesdk","Abe the Wizard Jumpchain V1.pdf")</f>
        <v>Abe the Wizard Jumpchain V1.pdf</v>
      </c>
      <c r="B2108" s="12" t="str">
        <f t="shared" si="200"/>
        <v>Reddit Jumpchain Drive/Completed</v>
      </c>
    </row>
    <row r="2109">
      <c r="A2109" s="12" t="str">
        <f>HYPERLINK("https://drive.google.com/file/d/1VqNmLow6vcj66uEpgQtXRSWcu3hBMTbq/view?usp=drivesdk","Earthsea JumpChain.pdf")</f>
        <v>Earthsea JumpChain.pdf</v>
      </c>
      <c r="B2109" s="12" t="str">
        <f t="shared" si="200"/>
        <v>Reddit Jumpchain Drive/Completed</v>
      </c>
    </row>
    <row r="2110">
      <c r="A2110" s="12" t="str">
        <f>HYPERLINK("https://drive.google.com/file/d/1tx_bua4Y490Bfk9zBULmIjPG0As43ZSd/view?usp=drivesdk","Dragon Quest III 1.2.pdf")</f>
        <v>Dragon Quest III 1.2.pdf</v>
      </c>
      <c r="B2110" s="12" t="str">
        <f t="shared" si="200"/>
        <v>Reddit Jumpchain Drive/Completed</v>
      </c>
    </row>
    <row r="2111">
      <c r="A2111" s="12" t="str">
        <f>HYPERLINK("https://drive.google.com/file/d/1thdcQNinBZrJRZyWLyyyK4uopzS3D4C_/view?usp=drivesdk","Power Rangers Battle for the Grid Jumpchain v1.pdf")</f>
        <v>Power Rangers Battle for the Grid Jumpchain v1.pdf</v>
      </c>
      <c r="B2111" s="12" t="str">
        <f t="shared" si="200"/>
        <v>Reddit Jumpchain Drive/Completed</v>
      </c>
    </row>
    <row r="2112">
      <c r="A2112" s="12" t="str">
        <f>HYPERLINK("https://drive.google.com/file/d/1i5jbNDQQEVTdUk0u8BkHRDQJpVV1J4hN/view?usp=drivesdk","The Muppet Show Jumpchain v1.pdf")</f>
        <v>The Muppet Show Jumpchain v1.pdf</v>
      </c>
      <c r="B2112" s="12" t="str">
        <f t="shared" si="200"/>
        <v>Reddit Jumpchain Drive/Completed</v>
      </c>
    </row>
    <row r="2113">
      <c r="A2113" s="12" t="str">
        <f>HYPERLINK("https://drive.google.com/file/d/1LnY7cXrYO9ddVcxM-W8FS6-_Nfe3lHCV/view?usp=drivesdk","Twisted Metal Jumpchain v1.pdf")</f>
        <v>Twisted Metal Jumpchain v1.pdf</v>
      </c>
      <c r="B2113" s="12" t="str">
        <f t="shared" si="200"/>
        <v>Reddit Jumpchain Drive/Completed</v>
      </c>
    </row>
    <row r="2114">
      <c r="A2114" s="12" t="str">
        <f>HYPERLINK("https://drive.google.com/file/d/1fOonbcphtDkUjaZ_8o1Jco4a7SqRUt-I/view?usp=drivesdk","SMT V (1).pdf")</f>
        <v>SMT V (1).pdf</v>
      </c>
      <c r="B2114" s="12" t="str">
        <f t="shared" si="200"/>
        <v>Reddit Jumpchain Drive/Completed</v>
      </c>
    </row>
    <row r="2115">
      <c r="A2115" s="12" t="str">
        <f>HYPERLINK("https://drive.google.com/file/d/1t7W4vlgfsWKhUSA3i8sJxy4ISeWrGzI1/view?usp=drivesdk","Fear Street.pdf")</f>
        <v>Fear Street.pdf</v>
      </c>
      <c r="B2115" s="12" t="str">
        <f t="shared" si="200"/>
        <v>Reddit Jumpchain Drive/Completed</v>
      </c>
    </row>
    <row r="2116">
      <c r="A2116" s="12" t="str">
        <f>HYPERLINK("https://drive.google.com/file/d/1J08XWtzyKwb3I6IowYVacOTBTNkwMRpu/view?usp=drivesdk","A Throne of Glass Jump v1.pdf")</f>
        <v>A Throne of Glass Jump v1.pdf</v>
      </c>
      <c r="B2116" s="12" t="str">
        <f t="shared" si="200"/>
        <v>Reddit Jumpchain Drive/Completed</v>
      </c>
    </row>
    <row r="2117">
      <c r="A2117" s="12" t="str">
        <f>HYPERLINK("https://drive.google.com/file/d/1POp5pPOnlk3cbhWJ0axoCoJev_3gyg7H/view?usp=drivesdk","Infinity Blade Jumpchain.pdf")</f>
        <v>Infinity Blade Jumpchain.pdf</v>
      </c>
      <c r="B2117" s="12" t="str">
        <f t="shared" si="200"/>
        <v>Reddit Jumpchain Drive/Completed</v>
      </c>
    </row>
    <row r="2118">
      <c r="A2118" s="12" t="str">
        <f>HYPERLINK("https://drive.google.com/file/d/1dCjOHR9yHgCCvZK-0P7unKdUEI2CqXKT/view?usp=drivesdk","Encanto v1.1")</f>
        <v>Encanto v1.1</v>
      </c>
      <c r="B2118" s="12" t="str">
        <f t="shared" si="200"/>
        <v>Reddit Jumpchain Drive/Completed</v>
      </c>
    </row>
    <row r="2119">
      <c r="A2119" s="12" t="str">
        <f>HYPERLINK("https://drive.google.com/file/d/1DvNJrh1YwWaSwYlixjqs7Gqpl6gvPfhl/view?usp=drivesdk","Army Men Jump.pdf")</f>
        <v>Army Men Jump.pdf</v>
      </c>
      <c r="B2119" s="12" t="str">
        <f t="shared" si="200"/>
        <v>Reddit Jumpchain Drive/Completed</v>
      </c>
    </row>
    <row r="2120">
      <c r="A2120" s="12" t="str">
        <f>HYPERLINK("https://drive.google.com/file/d/1dQwgHOfmDt7DZVgtCw0MsJC3q0NJX40a/view?usp=drivesdk","Transformers (Michael Bay) Jump 1.2.pdf")</f>
        <v>Transformers (Michael Bay) Jump 1.2.pdf</v>
      </c>
      <c r="B2120" s="12" t="str">
        <f t="shared" si="200"/>
        <v>Reddit Jumpchain Drive/Completed</v>
      </c>
    </row>
    <row r="2121">
      <c r="A2121" s="12" t="str">
        <f>HYPERLINK("https://drive.google.com/file/d/1bX0v9ZRG7V8gLYfToSfWjyMWvilAV7Dt/view?usp=drivesdk","Peaky Blinders jump.pdf")</f>
        <v>Peaky Blinders jump.pdf</v>
      </c>
      <c r="B2121" s="12" t="str">
        <f t="shared" si="200"/>
        <v>Reddit Jumpchain Drive/Completed</v>
      </c>
    </row>
    <row r="2122">
      <c r="A2122" s="12" t="str">
        <f>HYPERLINK("https://drive.google.com/file/d/1RwRgmYvpGGTNSfRnHwbHtsr7hxosKF90/view?usp=drivesdk","Transformers Cybertron.pdf")</f>
        <v>Transformers Cybertron.pdf</v>
      </c>
      <c r="B2122" s="12" t="str">
        <f t="shared" si="200"/>
        <v>Reddit Jumpchain Drive/Completed</v>
      </c>
    </row>
    <row r="2123">
      <c r="A2123" s="12" t="str">
        <f>HYPERLINK("https://drive.google.com/file/d/1byz-6182Ci4CwAqfbJcFdbEFavDSes4x/view?usp=drivesdk","Crimson Skies.pdf")</f>
        <v>Crimson Skies.pdf</v>
      </c>
      <c r="B2123" s="12" t="str">
        <f t="shared" si="200"/>
        <v>Reddit Jumpchain Drive/Completed</v>
      </c>
    </row>
    <row r="2124">
      <c r="A2124" s="12" t="str">
        <f>HYPERLINK("https://drive.google.com/file/d/1EBoyYZg7a4q6Nk3Zd9whmekBqNGOZeKl/view?usp=drivesdk","Epic (2013) Jumpchain .pdf")</f>
        <v>Epic (2013) Jumpchain .pdf</v>
      </c>
      <c r="B2124" s="12" t="str">
        <f t="shared" si="200"/>
        <v>Reddit Jumpchain Drive/Completed</v>
      </c>
    </row>
    <row r="2125">
      <c r="A2125" s="12" t="str">
        <f>HYPERLINK("https://drive.google.com/file/d/16CGLPmLxZVMYbVDBChPUIZOYAKQ7inOq/view?usp=drivesdk","WingsOfFire.pdf")</f>
        <v>WingsOfFire.pdf</v>
      </c>
      <c r="B2125" s="12" t="str">
        <f t="shared" si="200"/>
        <v>Reddit Jumpchain Drive/Completed</v>
      </c>
    </row>
    <row r="2126">
      <c r="A2126" s="12" t="str">
        <f>HYPERLINK("https://docs.google.com/document/d/138ycP40fGLJf1ShKl8ho0VrICLu_19u7OjfQhRk-rj4/edit?usp=drivesdk","Transformers (Michael Bay) Jump 1.1")</f>
        <v>Transformers (Michael Bay) Jump 1.1</v>
      </c>
      <c r="B2126" s="12" t="str">
        <f t="shared" si="200"/>
        <v>Reddit Jumpchain Drive/Completed</v>
      </c>
    </row>
    <row r="2127">
      <c r="A2127" s="12" t="str">
        <f>HYPERLINK("https://drive.google.com/file/d/1BUpO3QY0mu3fTdqsOiNPok8DY6lhrM3g/view?usp=drivesdk","Rick and Morty Jump 1.4.pdf")</f>
        <v>Rick and Morty Jump 1.4.pdf</v>
      </c>
      <c r="B2127" s="12" t="str">
        <f t="shared" si="200"/>
        <v>Reddit Jumpchain Drive/Completed</v>
      </c>
    </row>
    <row r="2128">
      <c r="A2128" s="12" t="str">
        <f>HYPERLINK("https://drive.google.com/file/d/1UMnGaqoH5FsaNdVb5Fv8_bXoB5_zkNlI/view?usp=drivesdk","Limitless eternity 1.1 pdf.pdf")</f>
        <v>Limitless eternity 1.1 pdf.pdf</v>
      </c>
      <c r="B2128" s="12" t="str">
        <f t="shared" si="200"/>
        <v>Reddit Jumpchain Drive/Completed</v>
      </c>
    </row>
    <row r="2129">
      <c r="A2129" s="12" t="str">
        <f>HYPERLINK("https://drive.google.com/file/d/1EGHDuGQhZ6Bejc9z7zoLZ7_rprZynMMt/view?usp=drivesdk","Cast Away jump 1.1.pdf")</f>
        <v>Cast Away jump 1.1.pdf</v>
      </c>
      <c r="B2129" s="12" t="str">
        <f t="shared" si="200"/>
        <v>Reddit Jumpchain Drive/Completed</v>
      </c>
    </row>
    <row r="2130">
      <c r="A2130" s="12" t="str">
        <f>HYPERLINK("https://drive.google.com/file/d/1WELukOUhRdFH2U1aQv6UnVmdeLq7RGJR/view?usp=drivesdk","Flintstones x Jetsons v1.1.pdf")</f>
        <v>Flintstones x Jetsons v1.1.pdf</v>
      </c>
      <c r="B2130" s="12" t="str">
        <f t="shared" si="200"/>
        <v>Reddit Jumpchain Drive/Completed</v>
      </c>
    </row>
    <row r="2131">
      <c r="A2131" s="12" t="str">
        <f>HYPERLINK("https://drive.google.com/file/d/1MP-0LF75CJap-_LqGR5RaobJn5m1MwZL/view?usp=drivesdk","Honkai Impact 3rd JumpChain V2.1.pdf")</f>
        <v>Honkai Impact 3rd JumpChain V2.1.pdf</v>
      </c>
      <c r="B2131" s="12" t="str">
        <f t="shared" si="200"/>
        <v>Reddit Jumpchain Drive/Completed</v>
      </c>
    </row>
    <row r="2132">
      <c r="A2132" s="12" t="str">
        <f>HYPERLINK("https://drive.google.com/file/d/1E18EkPZP1-ADIVhZ8J14TfjXMc7W26jV/view?usp=drivesdk","Online Game_ I Possess a Monster Merging Simulator Jumpchain.pdf")</f>
        <v>Online Game_ I Possess a Monster Merging Simulator Jumpchain.pdf</v>
      </c>
      <c r="B2132" s="12" t="str">
        <f t="shared" si="200"/>
        <v>Reddit Jumpchain Drive/Completed</v>
      </c>
    </row>
    <row r="2133">
      <c r="A2133" s="12" t="str">
        <f>HYPERLINK("https://drive.google.com/file/d/1Hu4_lDJx-0R0RbPzFBdHpPg9Qw0Y83pL/view?usp=drivesdk","Hyperion Cantos jumpchain.pdf")</f>
        <v>Hyperion Cantos jumpchain.pdf</v>
      </c>
      <c r="B2133" s="12" t="str">
        <f t="shared" si="200"/>
        <v>Reddit Jumpchain Drive/Completed</v>
      </c>
    </row>
    <row r="2134">
      <c r="A2134" s="12" t="str">
        <f>HYPERLINK("https://drive.google.com/file/d/1uIeXe6LFwfRgPzS17aHIKEPEAZutmq8M/view?usp=drivesdk","Neon Genesis Evangelion_ ANIMA Jump V1.0.pdf")</f>
        <v>Neon Genesis Evangelion_ ANIMA Jump V1.0.pdf</v>
      </c>
      <c r="B2134" s="12" t="str">
        <f t="shared" si="200"/>
        <v>Reddit Jumpchain Drive/Completed</v>
      </c>
    </row>
    <row r="2135">
      <c r="A2135" s="12" t="str">
        <f>HYPERLINK("https://drive.google.com/file/d/1X3TFisQmvI0zwJjtNrysp-JkO__x8JyI/view?usp=drivesdk","McSm Jump.pdf")</f>
        <v>McSm Jump.pdf</v>
      </c>
      <c r="B2135" s="12" t="str">
        <f t="shared" si="200"/>
        <v>Reddit Jumpchain Drive/Completed</v>
      </c>
    </row>
    <row r="2136">
      <c r="A2136" s="12" t="str">
        <f>HYPERLINK("https://drive.google.com/file/d/19xXscFcd-10-JKFTLE7YJxYJJN5WDLEx/view?usp=drivesdk","Civilizaton_ Beyond Earth Jumpchain.pdf")</f>
        <v>Civilizaton_ Beyond Earth Jumpchain.pdf</v>
      </c>
      <c r="B2136" s="12" t="str">
        <f t="shared" si="200"/>
        <v>Reddit Jumpchain Drive/Completed</v>
      </c>
    </row>
    <row r="2137">
      <c r="A2137" s="12" t="str">
        <f>HYPERLINK("https://drive.google.com/file/d/1Wuwvmbz_aVqtUvX3h03Rf7v5pM-RDzf8/view?usp=drivesdk","A Wizard’s Keychains Jump.pdf")</f>
        <v>A Wizard’s Keychains Jump.pdf</v>
      </c>
      <c r="B2137" s="12" t="str">
        <f t="shared" si="200"/>
        <v>Reddit Jumpchain Drive/Completed</v>
      </c>
    </row>
    <row r="2138">
      <c r="A2138" s="12" t="str">
        <f>HYPERLINK("https://drive.google.com/file/d/1M-me6R-wb0XUQDcN2RjT3wRihIEYtmjs/view?usp=drivesdk","Interviews with Monster Girls - Jumpchain.pdf")</f>
        <v>Interviews with Monster Girls - Jumpchain.pdf</v>
      </c>
      <c r="B2138" s="12" t="str">
        <f t="shared" si="200"/>
        <v>Reddit Jumpchain Drive/Completed</v>
      </c>
    </row>
    <row r="2139">
      <c r="A2139" s="12" t="str">
        <f>HYPERLINK("https://drive.google.com/file/d/18fZ_1ayLnsRMmhts0EfSRiWTfEi1Te-B/view?usp=drivesdk","Star Trek - Lower Decks Jumpchain.pdf")</f>
        <v>Star Trek - Lower Decks Jumpchain.pdf</v>
      </c>
      <c r="B2139" s="12" t="str">
        <f t="shared" si="200"/>
        <v>Reddit Jumpchain Drive/Completed</v>
      </c>
    </row>
    <row r="2140">
      <c r="A2140" s="12" t="str">
        <f>HYPERLINK("https://drive.google.com/file/d/1y-OXZcZoVKYz4V1KX5laeMG3iS_uuDSy/view?usp=drivesdk","Sundered.pdf")</f>
        <v>Sundered.pdf</v>
      </c>
      <c r="B2140" s="12" t="str">
        <f t="shared" si="200"/>
        <v>Reddit Jumpchain Drive/Completed</v>
      </c>
    </row>
    <row r="2141">
      <c r="A2141" s="12" t="str">
        <f>HYPERLINK("https://drive.google.com/file/d/1nkVT9EjqJo4JXsqZ5kVTImKfbl1c94Ln/view?usp=drivesdk","Misfit of Demon King Academy Jump.pdf")</f>
        <v>Misfit of Demon King Academy Jump.pdf</v>
      </c>
      <c r="B2141" s="12" t="str">
        <f t="shared" si="200"/>
        <v>Reddit Jumpchain Drive/Completed</v>
      </c>
    </row>
    <row r="2142">
      <c r="A2142" s="12" t="str">
        <f>HYPERLINK("https://drive.google.com/file/d/1YMn1P1hBxJTlSHHMuqg9g5kL0DENYWLz/view?usp=drivesdk","Jumpchain - To the Moon (2.0).pdf")</f>
        <v>Jumpchain - To the Moon (2.0).pdf</v>
      </c>
      <c r="B2142" s="12" t="str">
        <f t="shared" si="200"/>
        <v>Reddit Jumpchain Drive/Completed</v>
      </c>
    </row>
    <row r="2143">
      <c r="A2143" s="12" t="str">
        <f>HYPERLINK("https://drive.google.com/file/d/1zyOrH9YdUZBEz0q1rx5oHebh6PPXIs-x/view?usp=drivesdk","Miraculous Ladybug Jumpchain v1.0.pdf")</f>
        <v>Miraculous Ladybug Jumpchain v1.0.pdf</v>
      </c>
      <c r="B2143" s="12" t="str">
        <f t="shared" si="200"/>
        <v>Reddit Jumpchain Drive/Completed</v>
      </c>
    </row>
    <row r="2144">
      <c r="A2144" s="12" t="str">
        <f>HYPERLINK("https://drive.google.com/file/d/1vAFkLP-94w_Rovfasa4FAeM79M2KtvaI/view?usp=drivesdk","Terminator Jump.pdf")</f>
        <v>Terminator Jump.pdf</v>
      </c>
      <c r="B2144" s="12" t="str">
        <f t="shared" si="200"/>
        <v>Reddit Jumpchain Drive/Completed</v>
      </c>
    </row>
    <row r="2145">
      <c r="A2145" s="12" t="str">
        <f>HYPERLINK("https://drive.google.com/file/d/1AkjPG3TI4FWxXQdV44aMSv55Hz9W1BEY/view?usp=drivesdk","Sacrifice Jumpchain.pdf")</f>
        <v>Sacrifice Jumpchain.pdf</v>
      </c>
      <c r="B2145" s="12" t="str">
        <f t="shared" si="200"/>
        <v>Reddit Jumpchain Drive/Completed</v>
      </c>
    </row>
    <row r="2146">
      <c r="A2146" s="12" t="str">
        <f>HYPERLINK("https://drive.google.com/file/d/1Nm5bL32FVgCGSeu36i9YunjDmNv-sFaa/view?usp=drivesdk","Harry Potter - Magic Edition Jumpchain v1.2.pdf")</f>
        <v>Harry Potter - Magic Edition Jumpchain v1.2.pdf</v>
      </c>
      <c r="B2146" s="12" t="str">
        <f t="shared" si="200"/>
        <v>Reddit Jumpchain Drive/Completed</v>
      </c>
    </row>
    <row r="2147">
      <c r="A2147" s="12" t="str">
        <f>HYPERLINK("https://drive.google.com/file/d/1A7yiAYnE1yCYsoErfZFmNATNojtgJsng/view?usp=drivesdk","Buzz Lightyear of Star Command v1.0.pdf")</f>
        <v>Buzz Lightyear of Star Command v1.0.pdf</v>
      </c>
      <c r="B2147" s="12" t="str">
        <f t="shared" si="200"/>
        <v>Reddit Jumpchain Drive/Completed</v>
      </c>
    </row>
    <row r="2148">
      <c r="A2148" s="12" t="str">
        <f>HYPERLINK("https://drive.google.com/file/d/19rI-sg1M2oVVOtP-DWGzQGAI0IgwfxRF/view?usp=drivesdk","Swat Kats v1.6.pdf")</f>
        <v>Swat Kats v1.6.pdf</v>
      </c>
      <c r="B2148" s="12" t="str">
        <f t="shared" si="200"/>
        <v>Reddit Jumpchain Drive/Completed</v>
      </c>
    </row>
    <row r="2149">
      <c r="A2149" s="12" t="str">
        <f>HYPERLINK("https://drive.google.com/file/d/1n2iCr_g2AWaYgwz9t5-m8eLkeAKDRBGT/view?usp=drivesdk","Volcanoids Jump.pdf")</f>
        <v>Volcanoids Jump.pdf</v>
      </c>
      <c r="B2149" s="12" t="str">
        <f t="shared" si="200"/>
        <v>Reddit Jumpchain Drive/Completed</v>
      </c>
    </row>
    <row r="2150">
      <c r="A2150" s="12" t="str">
        <f>HYPERLINK("https://drive.google.com/file/d/1q1XpEHZVKMcjjBb2wvo3liRuK4G0cnzr/view?usp=drivesdk","West of Loathing Jumpchain.pdf")</f>
        <v>West of Loathing Jumpchain.pdf</v>
      </c>
      <c r="B2150" s="12" t="str">
        <f t="shared" si="200"/>
        <v>Reddit Jumpchain Drive/Completed</v>
      </c>
    </row>
    <row r="2151">
      <c r="A2151" s="12" t="str">
        <f>HYPERLINK("https://drive.google.com/file/d/1uWnIbhGDwhruG84xfHPuVKMV86Qvcz1V/view?usp=drivesdk","Tiny Toons Adventures v1.0.pdf")</f>
        <v>Tiny Toons Adventures v1.0.pdf</v>
      </c>
      <c r="B2151" s="12" t="str">
        <f t="shared" si="200"/>
        <v>Reddit Jumpchain Drive/Completed</v>
      </c>
    </row>
    <row r="2152">
      <c r="A2152" s="12" t="str">
        <f>HYPERLINK("https://drive.google.com/file/d/1ETfTRQDZUFGtkex8oZZJ6g-NZ2Dt9Iif/view?usp=drivesdk","Bobo-Bo-Bobo Jump [Ver 0.2].docx.pdf")</f>
        <v>Bobo-Bo-Bobo Jump [Ver 0.2].docx.pdf</v>
      </c>
      <c r="B2152" s="12" t="str">
        <f t="shared" si="200"/>
        <v>Reddit Jumpchain Drive/Completed</v>
      </c>
    </row>
    <row r="2153">
      <c r="A2153" s="12" t="str">
        <f>HYPERLINK("https://drive.google.com/file/d/1XjlvE7aK_GqbYaemrEmiScwi06TqxdPk/view?usp=drivesdk","Tyranny Jumpchain.pdf")</f>
        <v>Tyranny Jumpchain.pdf</v>
      </c>
      <c r="B2153" s="12" t="str">
        <f t="shared" si="200"/>
        <v>Reddit Jumpchain Drive/Completed</v>
      </c>
    </row>
    <row r="2154">
      <c r="A2154" s="12" t="str">
        <f>HYPERLINK("https://drive.google.com/file/d/1SrdK1H852nHl5AkEWD6EbKky1xPb-S4_/view?usp=drivesdk","Monica Adventures Jump V1.1.pdf")</f>
        <v>Monica Adventures Jump V1.1.pdf</v>
      </c>
      <c r="B2154" s="12" t="str">
        <f t="shared" si="200"/>
        <v>Reddit Jumpchain Drive/Completed</v>
      </c>
    </row>
    <row r="2155">
      <c r="A2155" s="12" t="str">
        <f>HYPERLINK("https://drive.google.com/file/d/10cH12tx-QwdOW9ADqRuySSL6txauSBC4/view?usp=drivesdk","Lord Xue Ying Jumpchain WIP.pdf")</f>
        <v>Lord Xue Ying Jumpchain WIP.pdf</v>
      </c>
      <c r="B2155" s="12" t="str">
        <f t="shared" si="200"/>
        <v>Reddit Jumpchain Drive/Completed</v>
      </c>
    </row>
    <row r="2156">
      <c r="A2156" s="12" t="str">
        <f>HYPERLINK("https://drive.google.com/file/d/1BT4rKyCqtLBg6XVONP5vvv1u-Lkty1f5/view?usp=drivesdk","Macross Frontier Jump.pdf")</f>
        <v>Macross Frontier Jump.pdf</v>
      </c>
      <c r="B2156" s="12" t="str">
        <f t="shared" si="200"/>
        <v>Reddit Jumpchain Drive/Completed</v>
      </c>
    </row>
    <row r="2157">
      <c r="A2157" s="12" t="str">
        <f>HYPERLINK("https://drive.google.com/file/d/1tlLJVxc6d5ofJcpnjdFubW-y0ZlHn0KJ/view?usp=drivesdk","WoD Sorcerer Jumpchain 2.3.pdf")</f>
        <v>WoD Sorcerer Jumpchain 2.3.pdf</v>
      </c>
      <c r="B2157" s="12" t="str">
        <f t="shared" si="200"/>
        <v>Reddit Jumpchain Drive/Completed</v>
      </c>
    </row>
    <row r="2158">
      <c r="A2158" s="12" t="str">
        <f>HYPERLINK("https://drive.google.com/file/d/1miwE4NhSAz4xoot_GQ3atWisCx34j-zi/view?usp=drivesdk","The Producers Jumpchain.pdf")</f>
        <v>The Producers Jumpchain.pdf</v>
      </c>
      <c r="B2158" s="12" t="str">
        <f t="shared" si="200"/>
        <v>Reddit Jumpchain Drive/Completed</v>
      </c>
    </row>
    <row r="2159">
      <c r="A2159" s="12" t="str">
        <f>HYPERLINK("https://drive.google.com/file/d/1EOKHhT4RxUnKF1EMo5fsA6clYBLM3NFC/view?usp=drivesdk","Borrowers and Broomsticks.pdf")</f>
        <v>Borrowers and Broomsticks.pdf</v>
      </c>
      <c r="B2159" s="12" t="str">
        <f t="shared" si="200"/>
        <v>Reddit Jumpchain Drive/Completed</v>
      </c>
    </row>
    <row r="2160">
      <c r="A2160" s="12" t="str">
        <f>HYPERLINK("https://drive.google.com/file/d/1oHmqHSUhE272zDw0ICuo2Nwd4mhr6vNl/view?usp=drivesdk","Loonatics Unleashed.pdf")</f>
        <v>Loonatics Unleashed.pdf</v>
      </c>
      <c r="B2160" s="12" t="str">
        <f t="shared" si="200"/>
        <v>Reddit Jumpchain Drive/Completed</v>
      </c>
    </row>
    <row r="2161">
      <c r="A2161" s="12" t="str">
        <f>HYPERLINK("https://drive.google.com/file/d/1P0EvDn5cL08RreXWnGW8T1kr-WGRJmNV/view?usp=drivesdk","Duck Dodgers Jump v2.1 [Compressed].pdf")</f>
        <v>Duck Dodgers Jump v2.1 [Compressed].pdf</v>
      </c>
      <c r="B2161" s="12" t="str">
        <f t="shared" si="200"/>
        <v>Reddit Jumpchain Drive/Completed</v>
      </c>
    </row>
    <row r="2162">
      <c r="A2162" s="12" t="str">
        <f>HYPERLINK("https://drive.google.com/file/d/1G4Gm4yGqBwhumJ4qDqAoq5kTgxKw3iTg/view?usp=drivesdk","The Prince of Egypt Jumpchain.pdf")</f>
        <v>The Prince of Egypt Jumpchain.pdf</v>
      </c>
      <c r="B2162" s="12" t="str">
        <f t="shared" si="200"/>
        <v>Reddit Jumpchain Drive/Completed</v>
      </c>
    </row>
    <row r="2163">
      <c r="A2163" s="12" t="str">
        <f>HYPERLINK("https://drive.google.com/file/d/17pcjK323fOv29px2TU36pLvCLQA0dSlI/view?usp=drivesdk","Warbreaker Jumpchain.pdf")</f>
        <v>Warbreaker Jumpchain.pdf</v>
      </c>
      <c r="B2163" s="12" t="str">
        <f t="shared" si="200"/>
        <v>Reddit Jumpchain Drive/Completed</v>
      </c>
    </row>
    <row r="2164">
      <c r="A2164" s="12" t="str">
        <f>HYPERLINK("https://drive.google.com/file/d/187kd2-7EDx35-GnX-5VuJgrkxwh3fH59/view?usp=drivesdk","Civilization V.pdf")</f>
        <v>Civilization V.pdf</v>
      </c>
      <c r="B2164" s="12" t="str">
        <f t="shared" si="200"/>
        <v>Reddit Jumpchain Drive/Completed</v>
      </c>
    </row>
    <row r="2165">
      <c r="A2165" s="12" t="str">
        <f>HYPERLINK("https://drive.google.com/file/d/1YBqrwQBjirgTLSE8T4j0-bwh8jQb3REk/view?usp=drivesdk","Bob's Burgers Jumpchain V 0.1.pdf")</f>
        <v>Bob's Burgers Jumpchain V 0.1.pdf</v>
      </c>
      <c r="B2165" s="12" t="str">
        <f t="shared" si="200"/>
        <v>Reddit Jumpchain Drive/Completed</v>
      </c>
    </row>
    <row r="2166">
      <c r="A2166" s="12" t="str">
        <f>HYPERLINK("https://drive.google.com/file/d/1ZVwF4sEJVNLyarY0nfjuGbs22-_KcPDj/view?usp=drivesdk","Super Princess Peach Jump (Ver 1.5).docx.pdf")</f>
        <v>Super Princess Peach Jump (Ver 1.5).docx.pdf</v>
      </c>
      <c r="B2166" s="12" t="str">
        <f t="shared" si="200"/>
        <v>Reddit Jumpchain Drive/Completed</v>
      </c>
    </row>
    <row r="2167">
      <c r="A2167" s="12" t="str">
        <f>HYPERLINK("https://drive.google.com/file/d/1JKkH8PJlqx6njmjoIqS8g6gQ1QL7ZnrO/view?usp=drivesdk","Lord El-Melloi Case Files Jumpchain 3.0.pdf")</f>
        <v>Lord El-Melloi Case Files Jumpchain 3.0.pdf</v>
      </c>
      <c r="B2167" s="12" t="str">
        <f t="shared" si="200"/>
        <v>Reddit Jumpchain Drive/Completed</v>
      </c>
    </row>
    <row r="2168">
      <c r="A2168" s="12" t="str">
        <f>HYPERLINK("https://drive.google.com/file/d/1w6oamZmoGXCh-dmLfsEvNFtoYEjCm3rw/view?usp=drivesdk","House Of Horrors V2.pdf")</f>
        <v>House Of Horrors V2.pdf</v>
      </c>
      <c r="B2168" s="12" t="str">
        <f t="shared" si="200"/>
        <v>Reddit Jumpchain Drive/Completed</v>
      </c>
    </row>
    <row r="2169">
      <c r="A2169" s="12" t="str">
        <f>HYPERLINK("https://drive.google.com/file/d/19d_3AWT5gp-uambEDMiqfRBIdaHVoyOl/view?usp=drivesdk","Fantasy Life 1.1.pdf")</f>
        <v>Fantasy Life 1.1.pdf</v>
      </c>
      <c r="B2169" s="12" t="str">
        <f t="shared" si="200"/>
        <v>Reddit Jumpchain Drive/Completed</v>
      </c>
    </row>
    <row r="2170">
      <c r="A2170" s="12" t="str">
        <f>HYPERLINK("https://drive.google.com/file/d/1Y12SOL5KIkly6RXDLjKUEjNHywK5gSJW/view?usp=drivesdk","Hotel Transylvania v0.1.2.pdf")</f>
        <v>Hotel Transylvania v0.1.2.pdf</v>
      </c>
      <c r="B2170" s="12" t="str">
        <f t="shared" si="200"/>
        <v>Reddit Jumpchain Drive/Completed</v>
      </c>
    </row>
    <row r="2171">
      <c r="A2171" s="12" t="str">
        <f>HYPERLINK("https://drive.google.com/file/d/1CoYqF0dL2NC03ox-KELxxVhrfcvTZ8Zp/view?usp=drivesdk","Darkwing Duck Jump v2.7.pdf")</f>
        <v>Darkwing Duck Jump v2.7.pdf</v>
      </c>
      <c r="B2171" s="12" t="str">
        <f t="shared" si="200"/>
        <v>Reddit Jumpchain Drive/Completed</v>
      </c>
    </row>
    <row r="2172">
      <c r="A2172" s="12" t="str">
        <f>HYPERLINK("https://drive.google.com/file/d/16Xa3rW_O-Ane8wpvltdhuoAlEtGoIvVW/view?usp=drivesdk","Planet of the Apes v1.5.pdf")</f>
        <v>Planet of the Apes v1.5.pdf</v>
      </c>
      <c r="B2172" s="12" t="str">
        <f t="shared" si="200"/>
        <v>Reddit Jumpchain Drive/Completed</v>
      </c>
    </row>
    <row r="2173">
      <c r="A2173" s="12" t="str">
        <f>HYPERLINK("https://drive.google.com/file/d/1qX0GrSfUFG2pZOFYKy6AYPfhRvd0D-YB/view?usp=drivesdk","Magic Knights Rayearth Jump.pdf")</f>
        <v>Magic Knights Rayearth Jump.pdf</v>
      </c>
      <c r="B2173" s="12" t="str">
        <f t="shared" si="200"/>
        <v>Reddit Jumpchain Drive/Completed</v>
      </c>
    </row>
    <row r="2174">
      <c r="A2174" s="12" t="str">
        <f>HYPERLINK("https://drive.google.com/file/d/1VDuRNIs5GSDvIwOiP7e8L638dRDTpDD_/view?usp=drivesdk","GOING BACK AND FORTH BETWEEN EARTH AND THE OTHER WORLD WITH SPACE TIME MAGIC JumpChain.pdf")</f>
        <v>GOING BACK AND FORTH BETWEEN EARTH AND THE OTHER WORLD WITH SPACE TIME MAGIC JumpChain.pdf</v>
      </c>
      <c r="B2174" s="12" t="str">
        <f t="shared" si="200"/>
        <v>Reddit Jumpchain Drive/Completed</v>
      </c>
    </row>
    <row r="2175">
      <c r="A2175" s="12" t="str">
        <f>HYPERLINK("https://drive.google.com/file/d/1deYFCwZLcSOS6MCsodMw6FX0Qx7nDs7X/view?usp=drivesdk","Generic My Hero Academia Fanfic V1.pdf")</f>
        <v>Generic My Hero Academia Fanfic V1.pdf</v>
      </c>
      <c r="B2175" s="12" t="str">
        <f t="shared" si="200"/>
        <v>Reddit Jumpchain Drive/Completed</v>
      </c>
    </row>
    <row r="2176">
      <c r="A2176" s="12" t="str">
        <f>HYPERLINK("https://drive.google.com/file/d/1fCm8P_gy-JzevjGntzkxXLxtnkZiVsiv/view?usp=drivesdk","Hotel Transylvania.docx.pdf")</f>
        <v>Hotel Transylvania.docx.pdf</v>
      </c>
      <c r="B2176" s="12" t="str">
        <f t="shared" si="200"/>
        <v>Reddit Jumpchain Drive/Completed</v>
      </c>
    </row>
    <row r="2177">
      <c r="A2177" s="12" t="str">
        <f>HYPERLINK("https://drive.google.com/file/d/1YZW4BgSqTCtfxqmC-w9CzWL6vSbNEmFY/view?usp=drivesdk","Kult.pdf")</f>
        <v>Kult.pdf</v>
      </c>
      <c r="B2177" s="12" t="str">
        <f t="shared" si="200"/>
        <v>Reddit Jumpchain Drive/Completed</v>
      </c>
    </row>
    <row r="2178">
      <c r="A2178" s="12" t="str">
        <f>HYPERLINK("https://drive.google.com/file/d/1UKhHLwTiJOz_0OvVROM5_PWdDgQS2jr2/view?usp=drivesdk","Grand Theft Auto_ Vice City V1.0.pdf")</f>
        <v>Grand Theft Auto_ Vice City V1.0.pdf</v>
      </c>
      <c r="B2178" s="12" t="str">
        <f t="shared" si="200"/>
        <v>Reddit Jumpchain Drive/Completed</v>
      </c>
    </row>
    <row r="2179">
      <c r="A2179" s="12" t="str">
        <f>HYPERLINK("https://drive.google.com/file/d/1nBI5anSuPzjX-_bf3H9W59XpoZxo6flf/view?usp=drivesdk","She-Ra and the Princesses of Power Jump 1.1.pdf")</f>
        <v>She-Ra and the Princesses of Power Jump 1.1.pdf</v>
      </c>
      <c r="B2179" s="12" t="str">
        <f t="shared" si="200"/>
        <v>Reddit Jumpchain Drive/Completed</v>
      </c>
    </row>
    <row r="2180">
      <c r="A2180" s="12" t="str">
        <f>HYPERLINK("https://drive.google.com/file/d/1s36VKhs8Bd7ljjm3Rz_R8vyoHEgvmyvo/view?usp=drivesdk","Inside Job.pdf")</f>
        <v>Inside Job.pdf</v>
      </c>
      <c r="B2180" s="12" t="str">
        <f t="shared" si="200"/>
        <v>Reddit Jumpchain Drive/Completed</v>
      </c>
    </row>
    <row r="2181">
      <c r="A2181" s="12" t="str">
        <f>HYPERLINK("https://drive.google.com/file/d/1ZThRQxrHPVjcp5uqY5cfZlHdKuWGqKkN/view?usp=drivesdk","Trials of Mana v1.3.pdf")</f>
        <v>Trials of Mana v1.3.pdf</v>
      </c>
      <c r="B2181" s="12" t="str">
        <f t="shared" si="200"/>
        <v>Reddit Jumpchain Drive/Completed</v>
      </c>
    </row>
    <row r="2182">
      <c r="A2182" s="12" t="str">
        <f>HYPERLINK("https://drive.google.com/file/d/1GoGG2qVDI5xQohYir1BrOFEiyG21t7gD/view?usp=drivesdk","Danny Phantom 1.5.pdf")</f>
        <v>Danny Phantom 1.5.pdf</v>
      </c>
      <c r="B2182" s="12" t="str">
        <f t="shared" si="200"/>
        <v>Reddit Jumpchain Drive/Completed</v>
      </c>
    </row>
    <row r="2183">
      <c r="A2183" s="12" t="str">
        <f>HYPERLINK("https://drive.google.com/file/d/1N2rGsYdTY2XXyxKU07aZf3Smf_9xKUSL/view?usp=drivesdk","Valkyrie Anatomia Jump.pdf")</f>
        <v>Valkyrie Anatomia Jump.pdf</v>
      </c>
      <c r="B2183" s="12" t="str">
        <f t="shared" si="200"/>
        <v>Reddit Jumpchain Drive/Completed</v>
      </c>
    </row>
    <row r="2184">
      <c r="A2184" s="12" t="str">
        <f>HYPERLINK("https://drive.google.com/file/d/1u6m99tOAWK041PNsNIsnTR85kYX41A43/view?usp=drivesdk","Sacred_ Underworld 1.1.pdf")</f>
        <v>Sacred_ Underworld 1.1.pdf</v>
      </c>
      <c r="B2184" s="12" t="str">
        <f t="shared" si="200"/>
        <v>Reddit Jumpchain Drive/Completed</v>
      </c>
    </row>
    <row r="2185">
      <c r="A2185" s="12" t="str">
        <f>HYPERLINK("https://drive.google.com/file/d/1pn5uU6Vd7SeMSvEElH47T_J01ObHgorR/view?usp=drivesdk","Dungeons the Dragoning 40'000_ 7th Edition 1.5.pdf")</f>
        <v>Dungeons the Dragoning 40'000_ 7th Edition 1.5.pdf</v>
      </c>
      <c r="B2185" s="12" t="str">
        <f t="shared" si="200"/>
        <v>Reddit Jumpchain Drive/Completed</v>
      </c>
    </row>
    <row r="2186">
      <c r="A2186" s="12" t="str">
        <f>HYPERLINK("https://drive.google.com/file/d/1hzz0xpkql4FqMmN4TrgRx58tS6LmfrRy/view?usp=drivesdk","Friday the 13th The Series Jump.pdf")</f>
        <v>Friday the 13th The Series Jump.pdf</v>
      </c>
      <c r="B2186" s="12" t="str">
        <f t="shared" si="200"/>
        <v>Reddit Jumpchain Drive/Completed</v>
      </c>
    </row>
    <row r="2187">
      <c r="A2187" s="12" t="str">
        <f>HYPERLINK("https://drive.google.com/file/d/1QKWMbV52wCWQt1vdBIEny0cqKLWSE1A8/view?usp=drivesdk","It’s a Wonderful Life Jumpchain.pdf")</f>
        <v>It’s a Wonderful Life Jumpchain.pdf</v>
      </c>
      <c r="B2187" s="12" t="str">
        <f t="shared" si="200"/>
        <v>Reddit Jumpchain Drive/Completed</v>
      </c>
    </row>
    <row r="2188">
      <c r="A2188" s="12" t="str">
        <f>HYPERLINK("https://drive.google.com/file/d/1zXI6klsWTtl2Nq5GXU7Bp804v5hV7TLF/view?usp=drivesdk","George of the Jungle Jump.pdf")</f>
        <v>George of the Jungle Jump.pdf</v>
      </c>
      <c r="B2188" s="12" t="str">
        <f t="shared" si="200"/>
        <v>Reddit Jumpchain Drive/Completed</v>
      </c>
    </row>
    <row r="2189">
      <c r="A2189" s="12" t="str">
        <f>HYPERLINK("https://drive.google.com/file/d/1Uj2SDI1-GtK9pNG6zpgFU5T8P8Hiw2rZ/view?usp=drivesdk","Mazinger Z.pdf")</f>
        <v>Mazinger Z.pdf</v>
      </c>
      <c r="B2189" s="12" t="str">
        <f t="shared" si="200"/>
        <v>Reddit Jumpchain Drive/Completed</v>
      </c>
    </row>
    <row r="2190">
      <c r="A2190" s="12" t="str">
        <f>HYPERLINK("https://drive.google.com/file/d/1psZqOcsYhL3Zsxkz5x4m1uhtN5OJq1BE/view?usp=drivesdk","SMG4.pdf")</f>
        <v>SMG4.pdf</v>
      </c>
      <c r="B2190" s="12" t="str">
        <f t="shared" si="200"/>
        <v>Reddit Jumpchain Drive/Completed</v>
      </c>
    </row>
    <row r="2191">
      <c r="A2191" s="12" t="str">
        <f>HYPERLINK("https://drive.google.com/file/d/1Snzj8QP_CPglXqrQD_y77_4RO3pJ85Ig/view?usp=drivesdk","DCeased Jumpchain 1.4.pdf")</f>
        <v>DCeased Jumpchain 1.4.pdf</v>
      </c>
      <c r="B2191" s="12" t="str">
        <f t="shared" si="200"/>
        <v>Reddit Jumpchain Drive/Completed</v>
      </c>
    </row>
    <row r="2192">
      <c r="A2192" s="12" t="str">
        <f>HYPERLINK("https://drive.google.com/file/d/1vkHDUIIS_1G2MZOHxpJFjN3z_w1XHGBy/view?usp=drivesdk","Titan Souls v1.0.pdf")</f>
        <v>Titan Souls v1.0.pdf</v>
      </c>
      <c r="B2192" s="12" t="str">
        <f t="shared" si="200"/>
        <v>Reddit Jumpchain Drive/Completed</v>
      </c>
    </row>
    <row r="2193">
      <c r="A2193" s="12" t="str">
        <f>HYPERLINK("https://drive.google.com/file/d/1wJIHEfDcJjXNHk5DeGEdclj4U0R0HvCT/view?usp=drivesdk","Stacking Jump Version 1.1.pdf")</f>
        <v>Stacking Jump Version 1.1.pdf</v>
      </c>
      <c r="B2193" s="12" t="str">
        <f t="shared" si="200"/>
        <v>Reddit Jumpchain Drive/Completed</v>
      </c>
    </row>
    <row r="2194">
      <c r="A2194" s="12" t="str">
        <f>HYPERLINK("https://drive.google.com/file/d/1Py-7UEwiQ4Yc-RAZswuVmCeiTBm2sk4B/view?usp=drivesdk","Not Another D&amp;D Jumpchain v1.1.pdf")</f>
        <v>Not Another D&amp;D Jumpchain v1.1.pdf</v>
      </c>
      <c r="B2194" s="12" t="str">
        <f t="shared" si="200"/>
        <v>Reddit Jumpchain Drive/Completed</v>
      </c>
    </row>
    <row r="2195">
      <c r="A2195" s="12" t="str">
        <f>HYPERLINK("https://drive.google.com/file/d/1E9yKVjtLJHp-yBGqydloRdO07DpNwWFr/view?usp=drivesdk","Project Sekai.pdf")</f>
        <v>Project Sekai.pdf</v>
      </c>
      <c r="B2195" s="12" t="str">
        <f t="shared" si="200"/>
        <v>Reddit Jumpchain Drive/Completed</v>
      </c>
    </row>
    <row r="2196">
      <c r="A2196" s="12" t="str">
        <f>HYPERLINK("https://drive.google.com/file/d/19p-d2UqgfcYq_305G_2JVAaI2qqVZ4f3/view?usp=drivesdk","Chaos Rings Jumpchain v1.pdf")</f>
        <v>Chaos Rings Jumpchain v1.pdf</v>
      </c>
      <c r="B2196" s="12" t="str">
        <f t="shared" si="200"/>
        <v>Reddit Jumpchain Drive/Completed</v>
      </c>
    </row>
    <row r="2197">
      <c r="A2197" s="12" t="str">
        <f>HYPERLINK("https://drive.google.com/file/d/1g1Hb46787-Bqo2oCaMGBqhix8pbwNVi7/view?usp=drivesdk","WhiteTower1.2.pdf")</f>
        <v>WhiteTower1.2.pdf</v>
      </c>
      <c r="B2197" s="12" t="str">
        <f t="shared" si="200"/>
        <v>Reddit Jumpchain Drive/Completed</v>
      </c>
    </row>
    <row r="2198">
      <c r="A2198" s="12" t="str">
        <f>HYPERLINK("https://drive.google.com/file/d/185dnhZQLvAUFA4lRWeJR4Px8Uw8YjkUS/view?usp=drivesdk","Red Rising Jump (v 0.1).pdf")</f>
        <v>Red Rising Jump (v 0.1).pdf</v>
      </c>
      <c r="B2198" s="12" t="str">
        <f t="shared" si="200"/>
        <v>Reddit Jumpchain Drive/Completed</v>
      </c>
    </row>
    <row r="2199">
      <c r="A2199" s="12" t="str">
        <f>HYPERLINK("https://drive.google.com/file/d/1xsOdAPt_JUi31U_0pnbgiSmhLVZ2v9Mj/view?usp=drivesdk","Chobits Jump.pdf")</f>
        <v>Chobits Jump.pdf</v>
      </c>
      <c r="B2199" s="12" t="str">
        <f t="shared" si="200"/>
        <v>Reddit Jumpchain Drive/Completed</v>
      </c>
    </row>
    <row r="2200">
      <c r="A2200" s="12" t="str">
        <f>HYPERLINK("https://drive.google.com/file/d/1l-TniTdQr65QCG0NCsuC12DcAs4X4s4b/view?usp=drivesdk","Inscryption.pdf")</f>
        <v>Inscryption.pdf</v>
      </c>
      <c r="B2200" s="12" t="str">
        <f t="shared" si="200"/>
        <v>Reddit Jumpchain Drive/Completed</v>
      </c>
    </row>
    <row r="2201">
      <c r="A2201" s="12" t="str">
        <f>HYPERLINK("https://drive.google.com/file/d/19aJvJ--LpF7sGH5XVk6fJyJtrXFpywZn/view?usp=drivesdk","Jumpchain - What Remains of Edith Finch (&amp; The Unfinished Swan) Version 1.1.pdf")</f>
        <v>Jumpchain - What Remains of Edith Finch (&amp; The Unfinished Swan) Version 1.1.pdf</v>
      </c>
      <c r="B2201" s="12" t="str">
        <f t="shared" si="200"/>
        <v>Reddit Jumpchain Drive/Completed</v>
      </c>
    </row>
    <row r="2202">
      <c r="A2202" s="12" t="str">
        <f>HYPERLINK("https://drive.google.com/file/d/1gcjvlI9aHHWjwPNPnqQMGwxtN5TMHG3j/view?usp=drivesdk","Pale.pdf")</f>
        <v>Pale.pdf</v>
      </c>
      <c r="B2202" s="12" t="str">
        <f t="shared" si="200"/>
        <v>Reddit Jumpchain Drive/Completed</v>
      </c>
    </row>
    <row r="2203">
      <c r="A2203" s="12" t="str">
        <f>HYPERLINK("https://drive.google.com/file/d/1yCya-_bq0FHId8iEuJ6jReqFdwtmauK5/view?usp=drivesdk","The Sixth Gun Jumpchain.pdf")</f>
        <v>The Sixth Gun Jumpchain.pdf</v>
      </c>
      <c r="B2203" s="12" t="str">
        <f t="shared" si="200"/>
        <v>Reddit Jumpchain Drive/Completed</v>
      </c>
    </row>
    <row r="2204">
      <c r="A2204" s="12" t="str">
        <f>HYPERLINK("https://drive.google.com/file/d/1XNzdQYLMYO-PBl4qAWkrks9F5R6Q2vD2/view?usp=drivesdk","Conan Exiles Jumpchain .pdf")</f>
        <v>Conan Exiles Jumpchain .pdf</v>
      </c>
      <c r="B2204" s="12" t="str">
        <f t="shared" si="200"/>
        <v>Reddit Jumpchain Drive/Completed</v>
      </c>
    </row>
    <row r="2205">
      <c r="A2205" s="12" t="str">
        <f>HYPERLINK("https://drive.google.com/file/d/1qC7ep2HWx6yoEmSBA2qKUywdql3WWuzw/view?usp=drivesdk","Inyuyashiki Jumpchain V 1.0.pdf")</f>
        <v>Inyuyashiki Jumpchain V 1.0.pdf</v>
      </c>
      <c r="B2205" s="12" t="str">
        <f t="shared" si="200"/>
        <v>Reddit Jumpchain Drive/Completed</v>
      </c>
    </row>
    <row r="2206">
      <c r="A2206" s="12" t="str">
        <f>HYPERLINK("https://drive.google.com/file/d/17FFrtIcFgGVIFcEwzWiXSZn_bboUqQL7/view?usp=drivesdk","Eureka Seven Jumpchain.pdf")</f>
        <v>Eureka Seven Jumpchain.pdf</v>
      </c>
      <c r="B2206" s="12" t="str">
        <f t="shared" si="200"/>
        <v>Reddit Jumpchain Drive/Completed</v>
      </c>
    </row>
    <row r="2207">
      <c r="A2207" s="12" t="str">
        <f>HYPERLINK("https://drive.google.com/file/d/1iU6Gv6e29m_tFhuYDtQdoJqVdoBlEhTw/view?usp=drivesdk","Dark Souls 3 - Covenants.pdf")</f>
        <v>Dark Souls 3 - Covenants.pdf</v>
      </c>
      <c r="B2207" s="12" t="str">
        <f t="shared" si="200"/>
        <v>Reddit Jumpchain Drive/Completed</v>
      </c>
    </row>
    <row r="2208">
      <c r="A2208" s="12" t="str">
        <f>HYPERLINK("https://drive.google.com/file/d/16XLZABKxD74fk8Dc5QidtAk-oQeHMN22/view?usp=drivesdk","In_Spectre Jumpchain v2.0.pdf")</f>
        <v>In_Spectre Jumpchain v2.0.pdf</v>
      </c>
      <c r="B2208" s="12" t="str">
        <f t="shared" si="200"/>
        <v>Reddit Jumpchain Drive/Completed</v>
      </c>
    </row>
    <row r="2209">
      <c r="A2209" s="12" t="str">
        <f>HYPERLINK("https://drive.google.com/file/d/1EFXI8hUbqQZVGYXnbedrwsclbgTkfSgg/view?usp=drivesdk","Starcraft II Odyssey Jumpchain.pdf")</f>
        <v>Starcraft II Odyssey Jumpchain.pdf</v>
      </c>
      <c r="B2209" s="12" t="str">
        <f t="shared" si="200"/>
        <v>Reddit Jumpchain Drive/Completed</v>
      </c>
    </row>
    <row r="2210">
      <c r="A2210" s="12" t="str">
        <f>HYPERLINK("https://drive.google.com/file/d/1ShHmgxjql2CNm3onJACrL2JeVbv9NJHe/view?usp=drivesdk","Black★Rock Shooter_ The Anime Jump.pdf")</f>
        <v>Black★Rock Shooter_ The Anime Jump.pdf</v>
      </c>
      <c r="B2210" s="12" t="str">
        <f t="shared" si="200"/>
        <v>Reddit Jumpchain Drive/Completed</v>
      </c>
    </row>
    <row r="2211">
      <c r="A2211" s="12" t="str">
        <f>HYPERLINK("https://drive.google.com/file/d/1Aw4BJ__KUe7vd1AflplIDXPN0uAZYwNh/view?usp=drivesdk","Tower of God Jump.pdf")</f>
        <v>Tower of God Jump.pdf</v>
      </c>
      <c r="B2211" s="12" t="str">
        <f t="shared" si="200"/>
        <v>Reddit Jumpchain Drive/Completed</v>
      </c>
    </row>
    <row r="2212">
      <c r="A2212" s="12" t="str">
        <f>HYPERLINK("https://drive.google.com/file/d/1aHjASA3kv_WxrBbm12dfMQ3Xq7ShX3fn/view?usp=drivesdk","Gall Force Jump.pdf")</f>
        <v>Gall Force Jump.pdf</v>
      </c>
      <c r="B2212" s="12" t="str">
        <f t="shared" si="200"/>
        <v>Reddit Jumpchain Drive/Completed</v>
      </c>
    </row>
    <row r="2213">
      <c r="A2213" s="12" t="str">
        <f>HYPERLINK("https://drive.google.com/file/d/12giEJeRL2ZGrHDwlkcJqwN5CTqEj6VAG/view?usp=drivesdk","NMS Jump.pdf")</f>
        <v>NMS Jump.pdf</v>
      </c>
      <c r="B2213" s="12" t="str">
        <f t="shared" si="200"/>
        <v>Reddit Jumpchain Drive/Completed</v>
      </c>
    </row>
    <row r="2214">
      <c r="A2214" s="12" t="str">
        <f>HYPERLINK("https://drive.google.com/file/d/1Ab5MEHkr25deRa-oGEq9_bF2xSywyO7y/view?usp=drivesdk","Ao no exorcist_Blue exorcist jump.pdf")</f>
        <v>Ao no exorcist_Blue exorcist jump.pdf</v>
      </c>
      <c r="B2214" s="12" t="str">
        <f t="shared" si="200"/>
        <v>Reddit Jumpchain Drive/Completed</v>
      </c>
    </row>
    <row r="2215">
      <c r="A2215" s="12" t="str">
        <f>HYPERLINK("https://drive.google.com/file/d/1r9FJ-kj8QkA-ReI6ykgQyrkBhoWjArTR/view?usp=drivesdk","International Era Super Robot Wars.pdf")</f>
        <v>International Era Super Robot Wars.pdf</v>
      </c>
      <c r="B2215" s="12" t="str">
        <f t="shared" si="200"/>
        <v>Reddit Jumpchain Drive/Completed</v>
      </c>
    </row>
    <row r="2216">
      <c r="A2216" s="12" t="str">
        <f>HYPERLINK("https://drive.google.com/file/d/11ykvVMqkP3u3Gh0u1f9w6ZxWB1bKVpTH/view?usp=drivesdk","Eureka Seven Jumpchain v0.01 .pdf")</f>
        <v>Eureka Seven Jumpchain v0.01 .pdf</v>
      </c>
      <c r="B2216" s="12" t="str">
        <f t="shared" si="200"/>
        <v>Reddit Jumpchain Drive/Completed</v>
      </c>
    </row>
    <row r="2217">
      <c r="A2217" s="12" t="str">
        <f>HYPERLINK("https://drive.google.com/file/d/1i0VLmSbKs9-XJuEMwE9Tdry1lYX4JGcK/view?usp=drivesdk","The Suffering_ Ties That Bind Jump.pdf")</f>
        <v>The Suffering_ Ties That Bind Jump.pdf</v>
      </c>
      <c r="B2217" s="12" t="str">
        <f t="shared" si="200"/>
        <v>Reddit Jumpchain Drive/Completed</v>
      </c>
    </row>
    <row r="2218">
      <c r="A2218" s="12" t="str">
        <f>HYPERLINK("https://drive.google.com/file/d/1PaioGmRlDB5E7aOowtSuzJ-zP3uKB9Bi/view?usp=drivesdk","Kajiri Kamui Kagura Jumpchain.pdf")</f>
        <v>Kajiri Kamui Kagura Jumpchain.pdf</v>
      </c>
      <c r="B2218" s="12" t="str">
        <f t="shared" si="200"/>
        <v>Reddit Jumpchain Drive/Completed</v>
      </c>
    </row>
    <row r="2219">
      <c r="A2219" s="12" t="str">
        <f>HYPERLINK("https://drive.google.com/file/d/1ivESTLJbYlfTpIufF70uBAFphHN7fJsW/view?usp=drivesdk","Evil Zone Jumpchain 1.1.pdf")</f>
        <v>Evil Zone Jumpchain 1.1.pdf</v>
      </c>
      <c r="B2219" s="12" t="str">
        <f t="shared" si="200"/>
        <v>Reddit Jumpchain Drive/Completed</v>
      </c>
    </row>
    <row r="2220">
      <c r="A2220" s="12" t="str">
        <f>HYPERLINK("https://drive.google.com/file/d/1YZ_EjsNZNJaghMyh_JRVX5-uNA-dDbSj/view?usp=drivesdk","Slay The Spire - Downfall.pdf")</f>
        <v>Slay The Spire - Downfall.pdf</v>
      </c>
      <c r="B2220" s="12" t="str">
        <f t="shared" si="200"/>
        <v>Reddit Jumpchain Drive/Completed</v>
      </c>
    </row>
    <row r="2221">
      <c r="A2221" s="12" t="str">
        <f>HYPERLINK("https://drive.google.com/file/d/15isNfz4aJAjrVeRjJdu-5fYHhbQvtn6E/view?usp=drivesdk","Slay The Spire - Vanilla (Abhorsen_Anon version).pdf")</f>
        <v>Slay The Spire - Vanilla (Abhorsen_Anon version).pdf</v>
      </c>
      <c r="B2221" s="12" t="str">
        <f t="shared" si="200"/>
        <v>Reddit Jumpchain Drive/Completed</v>
      </c>
    </row>
    <row r="2222">
      <c r="A2222" s="12" t="str">
        <f>HYPERLINK("https://drive.google.com/file/d/18JsTS00Z4Iq9VrwTW45Sa2-ynrceHj2g/view?usp=drivesdk","Legacy of Kain JC.pdf")</f>
        <v>Legacy of Kain JC.pdf</v>
      </c>
      <c r="B2222" s="12" t="str">
        <f t="shared" si="200"/>
        <v>Reddit Jumpchain Drive/Completed</v>
      </c>
    </row>
    <row r="2223">
      <c r="A2223" s="12" t="str">
        <f>HYPERLINK("https://drive.google.com/file/d/19wTbBNRzyF4ziXWmpZldpFQLjqeidV8K/view?usp=drivesdk","Prince of Nothing v1.pdf")</f>
        <v>Prince of Nothing v1.pdf</v>
      </c>
      <c r="B2223" s="12" t="str">
        <f t="shared" si="200"/>
        <v>Reddit Jumpchain Drive/Completed</v>
      </c>
    </row>
    <row r="2224">
      <c r="A2224" s="12" t="str">
        <f>HYPERLINK("https://drive.google.com/file/d/1b9W6F19v7Yx8O6GQDqHGJgqG3zao6JrH/view?usp=drivesdk","Dinosaur King Jumpchain.pdf")</f>
        <v>Dinosaur King Jumpchain.pdf</v>
      </c>
      <c r="B2224" s="12" t="str">
        <f t="shared" si="200"/>
        <v>Reddit Jumpchain Drive/Completed</v>
      </c>
    </row>
    <row r="2225">
      <c r="A2225" s="12" t="str">
        <f>HYPERLINK("https://drive.google.com/file/d/1MNr_o8k2cqYzf0g18sEmKVsMHFNUautM/view?usp=drivesdk","KILLZONE Jump.pdf")</f>
        <v>KILLZONE Jump.pdf</v>
      </c>
      <c r="B2225" s="12" t="str">
        <f t="shared" si="200"/>
        <v>Reddit Jumpchain Drive/Completed</v>
      </c>
    </row>
    <row r="2226">
      <c r="A2226" s="12" t="str">
        <f>HYPERLINK("https://drive.google.com/file/d/1VditPgBknqkLspGhX_4aiua4yFjk4ylD/view?usp=drivesdk","Hard Sci-fi Space Jump (Up for adoption).pdf")</f>
        <v>Hard Sci-fi Space Jump (Up for adoption).pdf</v>
      </c>
      <c r="B2226" s="12" t="str">
        <f t="shared" si="200"/>
        <v>Reddit Jumpchain Drive/Completed</v>
      </c>
    </row>
    <row r="2227">
      <c r="A2227" s="12" t="str">
        <f>HYPERLINK("https://drive.google.com/file/d/1zHlgKGailrb005SgIfMp7-fXT5tw1kji/view?usp=drivesdk","Thrive_ Microbe Stage Gauntlet (Up for adoption).pdf")</f>
        <v>Thrive_ Microbe Stage Gauntlet (Up for adoption).pdf</v>
      </c>
      <c r="B2227" s="12" t="str">
        <f t="shared" si="200"/>
        <v>Reddit Jumpchain Drive/Completed</v>
      </c>
    </row>
    <row r="2228">
      <c r="A2228" s="12" t="str">
        <f>HYPERLINK("https://drive.google.com/file/d/1srodt8pOE6MEQiQNiAWWbjL9CXOYvM9T/view?usp=drivesdk","Old School Runescape_ The VRMMORPG Gauntlet (Up for adoption).pdf")</f>
        <v>Old School Runescape_ The VRMMORPG Gauntlet (Up for adoption).pdf</v>
      </c>
      <c r="B2228" s="12" t="str">
        <f t="shared" si="200"/>
        <v>Reddit Jumpchain Drive/Completed</v>
      </c>
    </row>
    <row r="2229">
      <c r="A2229" s="12" t="str">
        <f>HYPERLINK("https://drive.google.com/file/d/1vzvI7lWk-uT1yHBdzm6EDG3ArFMmcsQN/view?usp=drivesdk","Fable TLC Jump.pdf")</f>
        <v>Fable TLC Jump.pdf</v>
      </c>
      <c r="B2229" s="12" t="str">
        <f t="shared" si="200"/>
        <v>Reddit Jumpchain Drive/Completed</v>
      </c>
    </row>
    <row r="2230">
      <c r="A2230" s="12" t="str">
        <f>HYPERLINK("https://drive.google.com/file/d/1vl0oxYh64oG-I6qWhNCw7K2PxLRpoMas/view?usp=drivesdk","ULTRAKILL Jumpchain.pdf")</f>
        <v>ULTRAKILL Jumpchain.pdf</v>
      </c>
      <c r="B2230" s="12" t="str">
        <f t="shared" si="200"/>
        <v>Reddit Jumpchain Drive/Completed</v>
      </c>
    </row>
    <row r="2231">
      <c r="A2231" s="12" t="str">
        <f>HYPERLINK("https://drive.google.com/file/d/1Cpx8CUbElYHCgWo9TnPTQtXP2ss7KUNq/view?usp=drivesdk","Average Abilities v1.pdf")</f>
        <v>Average Abilities v1.pdf</v>
      </c>
      <c r="B2231" s="12" t="str">
        <f t="shared" si="200"/>
        <v>Reddit Jumpchain Drive/Completed</v>
      </c>
    </row>
    <row r="2232">
      <c r="A2232" s="12" t="str">
        <f>HYPERLINK("https://drive.google.com/file/d/1gJeTgOzpxjvh39NT8f00g-bTZYxxHthG/view?usp=drivesdk","Farming Simulator v0.1 (Up for adoption).pdf")</f>
        <v>Farming Simulator v0.1 (Up for adoption).pdf</v>
      </c>
      <c r="B2232" s="12" t="str">
        <f t="shared" si="200"/>
        <v>Reddit Jumpchain Drive/Completed</v>
      </c>
    </row>
    <row r="2233">
      <c r="A2233" s="12" t="str">
        <f>HYPERLINK("https://drive.google.com/file/d/1Bin-wa_8_8-Lge4CCpnajhgzQCGEI4Dj/view?usp=drivesdk","Infinite Loops Jump Chain Supplement v0.1 (Up for adoption).pdf")</f>
        <v>Infinite Loops Jump Chain Supplement v0.1 (Up for adoption).pdf</v>
      </c>
      <c r="B2233" s="12" t="str">
        <f t="shared" si="200"/>
        <v>Reddit Jumpchain Drive/Completed</v>
      </c>
    </row>
    <row r="2234">
      <c r="A2234" s="12" t="str">
        <f>HYPERLINK("https://drive.google.com/file/d/1GQ7pLq0ZAXkmyq7d8IgMZIcMP7vosGtp/view?usp=drivesdk","Heroes of Myth Jumpchain V1.0.pdf")</f>
        <v>Heroes of Myth Jumpchain V1.0.pdf</v>
      </c>
      <c r="B2234" s="12" t="str">
        <f t="shared" si="200"/>
        <v>Reddit Jumpchain Drive/Completed</v>
      </c>
    </row>
    <row r="2235">
      <c r="A2235" s="12" t="str">
        <f>HYPERLINK("https://drive.google.com/file/d/1jzVGuS_UakH3TUZaCegrRPpU_VYX_6xZ/view?usp=drivesdk","Sonic_s Quest For Power.pdf")</f>
        <v>Sonic_s Quest For Power.pdf</v>
      </c>
      <c r="B2235" s="12" t="str">
        <f t="shared" si="200"/>
        <v>Reddit Jumpchain Drive/Completed</v>
      </c>
    </row>
    <row r="2236">
      <c r="A2236" s="12" t="str">
        <f>HYPERLINK("https://drive.google.com/file/d/1gWiRDBPXD-Ux-uYq7bz2mDohVLTsf_ia/view?usp=drivesdk","Re_Monster JumpChain 1.0")</f>
        <v>Re_Monster JumpChain 1.0</v>
      </c>
      <c r="B2236" s="12" t="str">
        <f t="shared" si="200"/>
        <v>Reddit Jumpchain Drive/Completed</v>
      </c>
    </row>
    <row r="2237">
      <c r="A2237" s="12" t="str">
        <f>HYPERLINK("https://drive.google.com/file/d/1shOg1p3OuUewsFBq3QQJBs6B8cW-JDWa/view?usp=drivesdk","Paranormal Order (Jumpchain) English Version 3.0.pdf")</f>
        <v>Paranormal Order (Jumpchain) English Version 3.0.pdf</v>
      </c>
      <c r="B2237" s="12" t="str">
        <f t="shared" si="200"/>
        <v>Reddit Jumpchain Drive/Completed</v>
      </c>
    </row>
    <row r="2238">
      <c r="A2238" s="12" t="str">
        <f>HYPERLINK("https://drive.google.com/file/d/1WNOaWUMTLZPQrq0GvkCnW0GqLWa6N42J/view?usp=drivesdk","Monster Hunter World_ Iceborne Jump v1.0 (with Feedback section).pdf")</f>
        <v>Monster Hunter World_ Iceborne Jump v1.0 (with Feedback section).pdf</v>
      </c>
      <c r="B2238" s="12" t="str">
        <f t="shared" si="200"/>
        <v>Reddit Jumpchain Drive/Completed</v>
      </c>
    </row>
    <row r="2239">
      <c r="A2239" s="12" t="str">
        <f>HYPERLINK("https://drive.google.com/file/d/1qlE6jng-Z2zCAG0AeguvzQfmbwGge9ww/view?usp=drivesdk","Mass Effect - Jumpchain.pdf")</f>
        <v>Mass Effect - Jumpchain.pdf</v>
      </c>
      <c r="B2239" s="12" t="str">
        <f t="shared" si="200"/>
        <v>Reddit Jumpchain Drive/Completed</v>
      </c>
    </row>
    <row r="2240">
      <c r="A2240" s="12" t="str">
        <f>HYPERLINK("https://drive.google.com/file/d/1wBV77LSnSwO5bZu5vaAsUJiBTP9ufuGW/view?usp=drivesdk","BlackChain Jumpchain.pdf")</f>
        <v>BlackChain Jumpchain.pdf</v>
      </c>
      <c r="B2240" s="12" t="str">
        <f t="shared" si="200"/>
        <v>Reddit Jumpchain Drive/Completed</v>
      </c>
    </row>
    <row r="2241">
      <c r="A2241" s="12" t="str">
        <f>HYPERLINK("https://drive.google.com/file/d/1OLtfUtQa8LhKBnaIiB5FMlmeDQLo6xzg/view?usp=drivesdk","The Boys Jumpchain - CYOA V1.0.pdf")</f>
        <v>The Boys Jumpchain - CYOA V1.0.pdf</v>
      </c>
      <c r="B2241" s="12" t="str">
        <f t="shared" si="200"/>
        <v>Reddit Jumpchain Drive/Completed</v>
      </c>
    </row>
    <row r="2242">
      <c r="A2242" s="12" t="str">
        <f>HYPERLINK("https://drive.google.com/file/d/1H40BYYTjzvQ2Uh_IxzH7HdUSi_ic2cXE/view?usp=drivesdk","Control™.pdf")</f>
        <v>Control™.pdf</v>
      </c>
      <c r="B2242" s="12" t="str">
        <f t="shared" si="200"/>
        <v>Reddit Jumpchain Drive/Completed</v>
      </c>
    </row>
    <row r="2243">
      <c r="A2243" s="12" t="str">
        <f>HYPERLINK("https://drive.google.com/file/d/18LXKM3bvY6py6KWTE00rjzPS8CHNImjk/view?usp=drivesdk","Age of Empires III_ Wars of Liberty Jumpchain.pdf")</f>
        <v>Age of Empires III_ Wars of Liberty Jumpchain.pdf</v>
      </c>
      <c r="B2243" s="12" t="str">
        <f t="shared" si="200"/>
        <v>Reddit Jumpchain Drive/Completed</v>
      </c>
    </row>
    <row r="2244">
      <c r="A2244" s="12" t="str">
        <f>HYPERLINK("https://drive.google.com/file/d/1qTn_YwqQ3gEuY10Rla7kEfqA_Ch8PHTd/view?usp=drivesdk","Andromeda Jumpchain.pdf")</f>
        <v>Andromeda Jumpchain.pdf</v>
      </c>
      <c r="B2244" s="12" t="str">
        <f t="shared" si="200"/>
        <v>Reddit Jumpchain Drive/Completed</v>
      </c>
    </row>
    <row r="2245">
      <c r="A2245" s="12" t="str">
        <f>HYPERLINK("https://drive.google.com/file/d/1mbz1G5B4SYJ7aJ9tPrwu9wxo2XAUSSwa/view?usp=drivesdk","Anthem (1.5).pdf")</f>
        <v>Anthem (1.5).pdf</v>
      </c>
      <c r="B2245" s="12" t="str">
        <f t="shared" si="200"/>
        <v>Reddit Jumpchain Drive/Completed</v>
      </c>
    </row>
    <row r="2246">
      <c r="A2246" s="12" t="str">
        <f>HYPERLINK("https://drive.google.com/file/d/1dehKnQ_1sI70-iQjez-FZ_FInfowzS37/view?usp=drivesdk","Detroit Become Human V1.pdf")</f>
        <v>Detroit Become Human V1.pdf</v>
      </c>
      <c r="B2246" s="12" t="str">
        <f t="shared" si="200"/>
        <v>Reddit Jumpchain Drive/Completed</v>
      </c>
    </row>
    <row r="2247">
      <c r="A2247" s="12" t="str">
        <f>HYPERLINK("https://drive.google.com/file/d/1rRwLgPD9aym2I0hAb_AEcFVTj7XS53k5/view?usp=drivesdk","No Straight Roads.pdf")</f>
        <v>No Straight Roads.pdf</v>
      </c>
      <c r="B2247" s="12" t="str">
        <f t="shared" si="200"/>
        <v>Reddit Jumpchain Drive/Completed</v>
      </c>
    </row>
    <row r="2248">
      <c r="A2248" s="12" t="str">
        <f>HYPERLINK("https://drive.google.com/file/d/15sMiTXBB5-BBSx7e_RW-0ylwrmXitSrZ/view?usp=drivesdk","Live A Live Jump.pdf")</f>
        <v>Live A Live Jump.pdf</v>
      </c>
      <c r="B2248" s="12" t="str">
        <f t="shared" si="200"/>
        <v>Reddit Jumpchain Drive/Completed</v>
      </c>
    </row>
    <row r="2249">
      <c r="A2249" s="12" t="str">
        <f>HYPERLINK("https://drive.google.com/file/d/1zJIorGLCNoulPG-wFQ9LI48Z8JyLZZuV/view?usp=drivesdk","Code Vein Jumpchain Version 1.pdf")</f>
        <v>Code Vein Jumpchain Version 1.pdf</v>
      </c>
      <c r="B2249" s="12" t="str">
        <f t="shared" si="200"/>
        <v>Reddit Jumpchain Drive/Completed</v>
      </c>
    </row>
    <row r="2250">
      <c r="A2250" s="12" t="str">
        <f>HYPERLINK("https://drive.google.com/file/d/1HfO5xYZQDLPWhGagZ-4XROlnel2Y9kmI/view?usp=drivesdk","Psychonauts Jumpchain - PJ Edition.pdf")</f>
        <v>Psychonauts Jumpchain - PJ Edition.pdf</v>
      </c>
      <c r="B2250" s="12" t="str">
        <f t="shared" si="200"/>
        <v>Reddit Jumpchain Drive/Completed</v>
      </c>
    </row>
    <row r="2251">
      <c r="A2251" s="12" t="str">
        <f>HYPERLINK("https://drive.google.com/file/d/15JaSve64VkGQtgP4ylidKgyoabV-DVhW/view?usp=drivesdk","Mass Effect - Legendary Edition.pdf")</f>
        <v>Mass Effect - Legendary Edition.pdf</v>
      </c>
      <c r="B2251" s="12" t="str">
        <f t="shared" si="200"/>
        <v>Reddit Jumpchain Drive/Completed</v>
      </c>
    </row>
    <row r="2252">
      <c r="A2252" s="12" t="str">
        <f>HYPERLINK("https://drive.google.com/file/d/1dOSrS_mMjg7OemuQtbJJ8kgeSdFN5Jj_/view?usp=drivesdk","Gacha World Jumpchain.pdf")</f>
        <v>Gacha World Jumpchain.pdf</v>
      </c>
      <c r="B2252" s="12" t="str">
        <f t="shared" si="200"/>
        <v>Reddit Jumpchain Drive/Completed</v>
      </c>
    </row>
    <row r="2253">
      <c r="A2253" s="12" t="str">
        <f>HYPERLINK("https://drive.google.com/file/d/1ZqB6UWJs86xzwE1eQwBCmhLrvD7uNel_/view?usp=drivesdk","Gridman the Hyper Agent.pdf")</f>
        <v>Gridman the Hyper Agent.pdf</v>
      </c>
      <c r="B2253" s="12" t="str">
        <f t="shared" si="200"/>
        <v>Reddit Jumpchain Drive/Completed</v>
      </c>
    </row>
    <row r="2254">
      <c r="A2254" s="12" t="str">
        <f>HYPERLINK("https://drive.google.com/file/d/1jWIHdT61hbo6k_Ka9ZGd6hnbP-aSR9pD/view?usp=drivesdk","Ancient Godly Monarch .pdf")</f>
        <v>Ancient Godly Monarch .pdf</v>
      </c>
      <c r="B2254" s="12" t="str">
        <f t="shared" si="200"/>
        <v>Reddit Jumpchain Drive/Completed</v>
      </c>
    </row>
    <row r="2255">
      <c r="A2255" s="12" t="str">
        <f>HYPERLINK("https://drive.google.com/file/d/15fkpWF0gq321-4EeKOmQhvHTERodPmUr/view?usp=drivesdk","Kate Daniel Jumpchain.pdf")</f>
        <v>Kate Daniel Jumpchain.pdf</v>
      </c>
      <c r="B2255" s="12" t="str">
        <f t="shared" si="200"/>
        <v>Reddit Jumpchain Drive/Completed</v>
      </c>
    </row>
    <row r="2256">
      <c r="A2256" s="12" t="str">
        <f>HYPERLINK("https://drive.google.com/file/d/1kLsHBaQlinisJfhCnLt26erTQfQP29xQ/view?usp=drivesdk","F-Zero.pdf")</f>
        <v>F-Zero.pdf</v>
      </c>
      <c r="B2256" s="12" t="str">
        <f t="shared" si="200"/>
        <v>Reddit Jumpchain Drive/Completed</v>
      </c>
    </row>
    <row r="2257">
      <c r="A2257" s="12" t="str">
        <f>HYPERLINK("https://drive.google.com/file/d/1x8RceyCIiWHpBnHEp6wBqTP8D1TQhZLX/view?usp=drivesdk","DTG2 Jumpchain Final Version.pdf")</f>
        <v>DTG2 Jumpchain Final Version.pdf</v>
      </c>
      <c r="B2257" s="12" t="str">
        <f t="shared" si="200"/>
        <v>Reddit Jumpchain Drive/Completed</v>
      </c>
    </row>
    <row r="2258">
      <c r="A2258" s="12" t="str">
        <f>HYPERLINK("https://drive.google.com/file/d/1GdAqgjRThw2pCxhXkhaTwlaNxcsDUX0X/view?usp=drivesdk","Cyberpunk 2077 Jump v1.01")</f>
        <v>Cyberpunk 2077 Jump v1.01</v>
      </c>
      <c r="B2258" s="12" t="str">
        <f t="shared" si="200"/>
        <v>Reddit Jumpchain Drive/Completed</v>
      </c>
    </row>
    <row r="2259">
      <c r="A2259" s="12" t="str">
        <f>HYPERLINK("https://drive.google.com/file/d/10vDuhqgOxQTmzk3jaC6QEfKh2y1mOcsg/view?usp=drivesdk","Bloodshot Jumpchain1.1")</f>
        <v>Bloodshot Jumpchain1.1</v>
      </c>
      <c r="B2259" s="12" t="str">
        <f t="shared" si="200"/>
        <v>Reddit Jumpchain Drive/Completed</v>
      </c>
    </row>
    <row r="2260">
      <c r="A2260" s="12" t="str">
        <f>HYPERLINK("https://drive.google.com/file/d/1knMdQWqCSan-3EgxQCHnNemQnAaJshjF/view?usp=drivesdk","Bloons TD6.pdf")</f>
        <v>Bloons TD6.pdf</v>
      </c>
      <c r="B2260" s="12" t="str">
        <f t="shared" si="200"/>
        <v>Reddit Jumpchain Drive/Completed</v>
      </c>
    </row>
    <row r="2261">
      <c r="A2261" s="12" t="str">
        <f>HYPERLINK("https://drive.google.com/file/d/1KfyHoV_YYCa5BX3B63BHjrYH6y0RVm7l/view?usp=drivesdk","Brave Jump v1.0")</f>
        <v>Brave Jump v1.0</v>
      </c>
      <c r="B2261" s="12" t="str">
        <f t="shared" si="200"/>
        <v>Reddit Jumpchain Drive/Completed</v>
      </c>
    </row>
    <row r="2262">
      <c r="A2262" s="12" t="str">
        <f>HYPERLINK("https://drive.google.com/file/d/1UGyGnJOoQB_gLiDqk-8vfEHz404YEOtr/view?usp=drivesdk","I Shall Seal The Heavens.pdf")</f>
        <v>I Shall Seal The Heavens.pdf</v>
      </c>
      <c r="B2262" s="12" t="str">
        <f t="shared" si="200"/>
        <v>Reddit Jumpchain Drive/Completed</v>
      </c>
    </row>
    <row r="2263">
      <c r="A2263" s="12" t="str">
        <f>HYPERLINK("https://drive.google.com/file/d/1_y4WVfLEuuRI01FTDdaoRZ7ihOF_-dbf/view?usp=drivesdk","Lord Of War (2005) Jump V1.0 - The Reddit Edition.pdf")</f>
        <v>Lord Of War (2005) Jump V1.0 - The Reddit Edition.pdf</v>
      </c>
      <c r="B2263" s="12" t="str">
        <f t="shared" si="200"/>
        <v>Reddit Jumpchain Drive/Completed</v>
      </c>
    </row>
    <row r="2264">
      <c r="A2264" s="12" t="str">
        <f>HYPERLINK("https://drive.google.com/file/d/1dsxwbpI1cNlE9eWku5APRa3ylPN5kd-I/view?usp=drivesdk","The Secret Return Jumpchainv0.4.pdf")</f>
        <v>The Secret Return Jumpchainv0.4.pdf</v>
      </c>
      <c r="B2264" s="12" t="str">
        <f t="shared" si="200"/>
        <v>Reddit Jumpchain Drive/Completed</v>
      </c>
    </row>
    <row r="2265">
      <c r="A2265" s="12" t="str">
        <f>HYPERLINK("https://drive.google.com/file/d/1DkmO8BAQ11iiBgxjijO29_VO5f4joNIC/view?usp=drivesdk","Wings in the Night.pdf")</f>
        <v>Wings in the Night.pdf</v>
      </c>
      <c r="B2265" s="12" t="str">
        <f t="shared" si="200"/>
        <v>Reddit Jumpchain Drive/Completed</v>
      </c>
    </row>
    <row r="2266">
      <c r="A2266" s="12" t="str">
        <f>HYPERLINK("https://drive.google.com/file/d/1hyUUVFS-ck0UUvNGBXaBxus9zGzmrQR_/view?usp=drivesdk","In_Spectre Jumpchain v1.2.pdf")</f>
        <v>In_Spectre Jumpchain v1.2.pdf</v>
      </c>
      <c r="B2266" s="12" t="str">
        <f t="shared" si="200"/>
        <v>Reddit Jumpchain Drive/Completed</v>
      </c>
    </row>
    <row r="2267">
      <c r="A2267" s="12" t="str">
        <f>HYPERLINK("https://drive.google.com/file/d/1FnkelyUaKkUI1CixGv6sq76DMGxXqzfh/view?usp=drivesdk","Douluo Dalu Jumpchain.pdf")</f>
        <v>Douluo Dalu Jumpchain.pdf</v>
      </c>
      <c r="B2267" s="12" t="str">
        <f t="shared" si="200"/>
        <v>Reddit Jumpchain Drive/Completed</v>
      </c>
    </row>
    <row r="2268">
      <c r="A2268" s="12" t="str">
        <f>HYPERLINK("https://drive.google.com/file/d/1QHcFzCwH9A_VIHjzerEjBm3preOx97d8/view?usp=drivesdk","Battle Nations Jump Ver 5.75  (+DLCs).pdf")</f>
        <v>Battle Nations Jump Ver 5.75  (+DLCs).pdf</v>
      </c>
      <c r="B2268" s="12" t="str">
        <f t="shared" si="200"/>
        <v>Reddit Jumpchain Drive/Completed</v>
      </c>
    </row>
    <row r="2269">
      <c r="A2269" s="12" t="str">
        <f>HYPERLINK("https://drive.google.com/file/d/1Zr7mYbRM25xoO4JzcsdQNw_Wr2k3i-O-/view?usp=drivesdk","Ark Survival Evolved to Extinction Jump v1.0.pdf")</f>
        <v>Ark Survival Evolved to Extinction Jump v1.0.pdf</v>
      </c>
      <c r="B2269" s="12" t="str">
        <f t="shared" si="200"/>
        <v>Reddit Jumpchain Drive/Completed</v>
      </c>
    </row>
    <row r="2270">
      <c r="A2270" s="12" t="str">
        <f>HYPERLINK("https://drive.google.com/file/d/1Yhctlfyyq8Tv57Vbl-ux_i4HV2-nKTXK/view?usp=drivesdk","Ghost of Tsushima.pdf")</f>
        <v>Ghost of Tsushima.pdf</v>
      </c>
      <c r="B2270" s="12" t="str">
        <f t="shared" si="200"/>
        <v>Reddit Jumpchain Drive/Completed</v>
      </c>
    </row>
    <row r="2271">
      <c r="A2271" s="12" t="str">
        <f>HYPERLINK("https://drive.google.com/file/d/1LJYO-IxHM9ArEhj4BRwijEFodgYWvjA9/view?usp=drivesdk","Inuyasha Jumpchain Reincarnated 0.9.pdf")</f>
        <v>Inuyasha Jumpchain Reincarnated 0.9.pdf</v>
      </c>
      <c r="B2271" s="12" t="str">
        <f t="shared" si="200"/>
        <v>Reddit Jumpchain Drive/Completed</v>
      </c>
    </row>
    <row r="2272">
      <c r="A2272" s="12" t="str">
        <f>HYPERLINK("https://drive.google.com/file/d/1FxdY4y9sk0W2g_Jonkyp4VWz6O6Ew2xJ/view?usp=drivesdk","Legend of the River King Jumpchain 0.2.pdf")</f>
        <v>Legend of the River King Jumpchain 0.2.pdf</v>
      </c>
      <c r="B2272" s="12" t="str">
        <f t="shared" si="200"/>
        <v>Reddit Jumpchain Drive/Completed</v>
      </c>
    </row>
    <row r="2273">
      <c r="A2273" s="12" t="str">
        <f>HYPERLINK("https://drive.google.com/file/d/1EXbaUYnxB8Q5ZvyyiSjEXIU5jvuunAf1/view?usp=drivesdk","Colony (2009) Jump V1.1.pdf")</f>
        <v>Colony (2009) Jump V1.1.pdf</v>
      </c>
      <c r="B2273" s="12" t="str">
        <f t="shared" si="200"/>
        <v>Reddit Jumpchain Drive/Completed</v>
      </c>
    </row>
    <row r="2274">
      <c r="A2274" s="12" t="str">
        <f>HYPERLINK("https://drive.google.com/file/d/1O7yD7P7pXUrOBL7ux35J6pggZVurzEVY/view?usp=drivesdk","Dragon Age 1.02.pdf")</f>
        <v>Dragon Age 1.02.pdf</v>
      </c>
      <c r="B2274" s="12" t="str">
        <f t="shared" si="200"/>
        <v>Reddit Jumpchain Drive/Completed</v>
      </c>
    </row>
    <row r="2275">
      <c r="A2275" s="12" t="str">
        <f>HYPERLINK("https://drive.google.com/file/d/1V9tHKbBOwW3McVVxlJ2hnlh8_F16xUKS/view?usp=drivesdk","Attack on Titan.pdf")</f>
        <v>Attack on Titan.pdf</v>
      </c>
      <c r="B2275" s="12" t="str">
        <f t="shared" si="200"/>
        <v>Reddit Jumpchain Drive/Completed</v>
      </c>
    </row>
    <row r="2276">
      <c r="A2276" s="12" t="str">
        <f>HYPERLINK("https://drive.google.com/file/d/1H3Hl76JIST_h9ZkVQqInLeKq0_i58qWV/view?usp=drivesdk","Dark Prince of Camelot Jumpchain.pdf")</f>
        <v>Dark Prince of Camelot Jumpchain.pdf</v>
      </c>
      <c r="B2276" s="12" t="str">
        <f t="shared" si="200"/>
        <v>Reddit Jumpchain Drive/Completed</v>
      </c>
    </row>
    <row r="2277">
      <c r="A2277" s="12" t="str">
        <f>HYPERLINK("https://drive.google.com/file/d/1qLWT2M-mn4RblSQomEKcwezIhpkinWfB/view?usp=drivesdk","Ratatouille v1.0.pdf")</f>
        <v>Ratatouille v1.0.pdf</v>
      </c>
      <c r="B2277" s="12" t="str">
        <f t="shared" si="200"/>
        <v>Reddit Jumpchain Drive/Completed</v>
      </c>
    </row>
    <row r="2278">
      <c r="A2278" s="12" t="str">
        <f>HYPERLINK("https://drive.google.com/file/d/1xYWRty67YcTOOhKg5d8x1c8oeigGp70M/view?usp=drivesdk","Jormungand Perfect Order 1.0.3.pdf")</f>
        <v>Jormungand Perfect Order 1.0.3.pdf</v>
      </c>
      <c r="B2278" s="12" t="str">
        <f t="shared" si="200"/>
        <v>Reddit Jumpchain Drive/Completed</v>
      </c>
    </row>
    <row r="2279">
      <c r="A2279" s="12" t="str">
        <f>HYPERLINK("https://drive.google.com/file/d/1mhYCqSBwGwFHtfDQDCPSHp1fnn1bFoIo/view?usp=drivesdk","Toy Story Jump v1.1.pdf")</f>
        <v>Toy Story Jump v1.1.pdf</v>
      </c>
      <c r="B2279" s="12" t="str">
        <f t="shared" si="200"/>
        <v>Reddit Jumpchain Drive/Completed</v>
      </c>
    </row>
    <row r="2280">
      <c r="A2280" s="12" t="str">
        <f>HYPERLINK("https://drive.google.com/file/d/1VEu_tcGLt3EaXEPKdOHkW2XCz2tY6yaC/view?usp=drivesdk","Illusion of Gaia Jumpdoc 1.0.pdf")</f>
        <v>Illusion of Gaia Jumpdoc 1.0.pdf</v>
      </c>
      <c r="B2280" s="12" t="str">
        <f t="shared" si="200"/>
        <v>Reddit Jumpchain Drive/Completed</v>
      </c>
    </row>
    <row r="2281">
      <c r="A2281" s="12" t="str">
        <f>HYPERLINK("https://drive.google.com/file/d/1ZhphSFMks7ZBSXxVzMkYpk0qz2LhbVLG/view?usp=drivesdk","Lords of shadow jumpchain (part 1).pdf")</f>
        <v>Lords of shadow jumpchain (part 1).pdf</v>
      </c>
      <c r="B2281" s="12" t="str">
        <f t="shared" si="200"/>
        <v>Reddit Jumpchain Drive/Completed</v>
      </c>
    </row>
    <row r="2282">
      <c r="A2282" s="12" t="str">
        <f>HYPERLINK("https://drive.google.com/file/d/1hQyROCYgHS5HzxqCRW28kqgd4c_TfE_8/view?usp=drivesdk","Soulcalibur Jump(1).pdf")</f>
        <v>Soulcalibur Jump(1).pdf</v>
      </c>
      <c r="B2282" s="12" t="str">
        <f t="shared" si="200"/>
        <v>Reddit Jumpchain Drive/Completed</v>
      </c>
    </row>
    <row r="2283">
      <c r="A2283" s="12" t="str">
        <f>HYPERLINK("https://drive.google.com/file/d/1iLbhEJLDd3LdSxL59_cb83T8UFNMwm5-/view?usp=drivesdk","Hellboy Jumpchain Unofficial Update Supplement.pdf")</f>
        <v>Hellboy Jumpchain Unofficial Update Supplement.pdf</v>
      </c>
      <c r="B2283" s="12" t="str">
        <f t="shared" si="200"/>
        <v>Reddit Jumpchain Drive/Completed</v>
      </c>
    </row>
    <row r="2284">
      <c r="A2284" s="12" t="str">
        <f>HYPERLINK("https://drive.google.com/file/d/1u-qtskF8g0uD8C86jTn1GeeFWRoriElz/view?usp=drivesdk","The Last Human Jump V1.2.pdf")</f>
        <v>The Last Human Jump V1.2.pdf</v>
      </c>
      <c r="B2284" s="12" t="str">
        <f t="shared" si="200"/>
        <v>Reddit Jumpchain Drive/Completed</v>
      </c>
    </row>
    <row r="2285">
      <c r="A2285" s="12" t="str">
        <f>HYPERLINK("https://drive.google.com/file/d/1Y1hKJ3GVHOfyeavM66ouSfZeN6xEWpFp/view?usp=drivesdk","Roald Dahl Jumpchain.pdf")</f>
        <v>Roald Dahl Jumpchain.pdf</v>
      </c>
      <c r="B2285" s="12" t="str">
        <f t="shared" si="200"/>
        <v>Reddit Jumpchain Drive/Completed</v>
      </c>
    </row>
    <row r="2286">
      <c r="A2286" s="12" t="str">
        <f>HYPERLINK("https://drive.google.com/file/d/1Wx0_vug_DJXs-F-LrLpbm1rJ2fsjneKO/view?usp=drivesdk","I’m the Grim Reaper Jump V1.0.pdf")</f>
        <v>I’m the Grim Reaper Jump V1.0.pdf</v>
      </c>
      <c r="B2286" s="12" t="str">
        <f t="shared" si="200"/>
        <v>Reddit Jumpchain Drive/Completed</v>
      </c>
    </row>
    <row r="2287">
      <c r="A2287" s="12" t="str">
        <f>HYPERLINK("https://drive.google.com/file/d/1g8yNnj5A5s5w5mnuR6FU8AqHOM-QrJjT/view?usp=drivesdk","Forsaken Sword Legacies Jumpchain.pdf")</f>
        <v>Forsaken Sword Legacies Jumpchain.pdf</v>
      </c>
      <c r="B2287" s="12" t="str">
        <f t="shared" si="200"/>
        <v>Reddit Jumpchain Drive/Completed</v>
      </c>
    </row>
    <row r="2288">
      <c r="A2288" s="12" t="str">
        <f>HYPERLINK("https://drive.google.com/file/d/14_QYCza1Mm2VEXMY2Z_mXFhx7MAjtCK8/view?usp=drivesdk","The Mimic (Book I) Jumpchain.pdf")</f>
        <v>The Mimic (Book I) Jumpchain.pdf</v>
      </c>
      <c r="B2288" s="12" t="str">
        <f t="shared" si="200"/>
        <v>Reddit Jumpchain Drive/Completed</v>
      </c>
    </row>
    <row r="2289">
      <c r="A2289" s="12" t="str">
        <f>HYPERLINK("https://drive.google.com/file/d/1cz21H3VNzHX9cxN2kXdNVEgdbHDsOk3m/view?usp=drivesdk","Hellsing Abridged Jumpchain.pdf")</f>
        <v>Hellsing Abridged Jumpchain.pdf</v>
      </c>
      <c r="B2289" s="12" t="str">
        <f t="shared" si="200"/>
        <v>Reddit Jumpchain Drive/Completed</v>
      </c>
    </row>
    <row r="2290">
      <c r="A2290" s="12" t="str">
        <f>HYPERLINK("https://drive.google.com/file/d/14Umh_WxVl-NtCsGX__BKFNof0YD8RjjJ/view?usp=drivesdk","Freezing 1.1.pdf")</f>
        <v>Freezing 1.1.pdf</v>
      </c>
      <c r="B2290" s="12" t="str">
        <f t="shared" si="200"/>
        <v>Reddit Jumpchain Drive/Completed</v>
      </c>
    </row>
    <row r="2291">
      <c r="A2291" s="12" t="str">
        <f>HYPERLINK("https://drive.google.com/file/d/1W96CyTyeq9-BOOrKfy5a4LcbBjDSsblk/view?usp=drivesdk","Master of Magic v1.15.pdf")</f>
        <v>Master of Magic v1.15.pdf</v>
      </c>
      <c r="B2291" s="12" t="str">
        <f t="shared" si="200"/>
        <v>Reddit Jumpchain Drive/Completed</v>
      </c>
    </row>
    <row r="2292">
      <c r="A2292" s="12" t="str">
        <f>HYPERLINK("https://drive.google.com/file/d/1hEUCONuLVp4LjHw_srkyk7Sl-TaRdjc3/view?usp=drivesdk","Bungo Stray Dogs Jumpchain.pdf")</f>
        <v>Bungo Stray Dogs Jumpchain.pdf</v>
      </c>
      <c r="B2292" s="12" t="str">
        <f t="shared" si="200"/>
        <v>Reddit Jumpchain Drive/Completed</v>
      </c>
    </row>
    <row r="2293">
      <c r="A2293" s="12" t="str">
        <f>HYPERLINK("https://drive.google.com/file/d/12HveTL8b2fznjxTD5xM6SC9UdxiWYkOe/view?usp=drivesdk","He Who Fights With Monsters v1.pdf")</f>
        <v>He Who Fights With Monsters v1.pdf</v>
      </c>
      <c r="B2293" s="12" t="str">
        <f t="shared" si="200"/>
        <v>Reddit Jumpchain Drive/Completed</v>
      </c>
    </row>
    <row r="2294">
      <c r="A2294" s="12" t="str">
        <f>HYPERLINK("https://drive.google.com/file/d/1gAtwlp_fokwR1eQMDmIyY_DjtvKRmEph/view?usp=drivesdk","Jumper JumpChain.pdf")</f>
        <v>Jumper JumpChain.pdf</v>
      </c>
      <c r="B2294" s="12" t="str">
        <f t="shared" si="200"/>
        <v>Reddit Jumpchain Drive/Completed</v>
      </c>
    </row>
    <row r="2295">
      <c r="A2295" s="12" t="str">
        <f>HYPERLINK("https://drive.google.com/file/d/1AYl2T8TYbr394nJUqNOoC-LnWg4qxLQV/view?usp=drivesdk","Jobless In Another World JumpChain.pdf")</f>
        <v>Jobless In Another World JumpChain.pdf</v>
      </c>
      <c r="B2295" s="12" t="str">
        <f t="shared" si="200"/>
        <v>Reddit Jumpchain Drive/Completed</v>
      </c>
    </row>
    <row r="2296">
      <c r="A2296" s="12" t="str">
        <f>HYPERLINK("https://drive.google.com/file/d/1orVbdneusPs30zLyoOiiK0pXsj7j8nCP/view?usp=drivesdk","Grrl Power JumpChain.pdf")</f>
        <v>Grrl Power JumpChain.pdf</v>
      </c>
      <c r="B2296" s="12" t="str">
        <f t="shared" si="200"/>
        <v>Reddit Jumpchain Drive/Completed</v>
      </c>
    </row>
    <row r="2297">
      <c r="A2297" s="12" t="str">
        <f>HYPERLINK("https://drive.google.com/file/d/1iUVdwIL4iP9m1hgn04uH38FL35GA6UYL/view?usp=drivesdk","Mashin Hero Wataru.pdf")</f>
        <v>Mashin Hero Wataru.pdf</v>
      </c>
      <c r="B2297" s="12" t="str">
        <f t="shared" si="200"/>
        <v>Reddit Jumpchain Drive/Completed</v>
      </c>
    </row>
    <row r="2298">
      <c r="A2298" s="12" t="str">
        <f>HYPERLINK("https://drive.google.com/file/d/115xCwweojVEWxof293YqC6DEx5spEX9f/view?usp=drivesdk","StarCraft - The Zerg - Lone Valkyrie Edition.pdf")</f>
        <v>StarCraft - The Zerg - Lone Valkyrie Edition.pdf</v>
      </c>
      <c r="B2298" s="12" t="str">
        <f t="shared" si="200"/>
        <v>Reddit Jumpchain Drive/Completed</v>
      </c>
    </row>
    <row r="2299">
      <c r="A2299" s="12" t="str">
        <f>HYPERLINK("https://drive.google.com/file/d/1-vAB4u7JwWmnasnrHRMMd_OSkgsPy-v5/view?usp=drivesdk","Little Nightmares Gauntlet.pdf")</f>
        <v>Little Nightmares Gauntlet.pdf</v>
      </c>
      <c r="B2299" s="12" t="str">
        <f t="shared" si="200"/>
        <v>Reddit Jumpchain Drive/Completed</v>
      </c>
    </row>
    <row r="2300">
      <c r="A2300" s="12" t="str">
        <f>HYPERLINK("https://drive.google.com/file/d/1w809d9TYTprAdBVR_aA77yngcLh3LYay/view?usp=drivesdk","Quantum Break™.pdf")</f>
        <v>Quantum Break™.pdf</v>
      </c>
      <c r="B2300" s="12" t="str">
        <f t="shared" si="200"/>
        <v>Reddit Jumpchain Drive/Completed</v>
      </c>
    </row>
    <row r="2301">
      <c r="A2301" s="12" t="str">
        <f>HYPERLINK("https://drive.google.com/file/d/1pb0BKfR5-P9naFGvHVkYJX0RW6gNiWEY/view?usp=drivesdk","Age of Mythology The Expansion Jump v1.1.pdf")</f>
        <v>Age of Mythology The Expansion Jump v1.1.pdf</v>
      </c>
      <c r="B2301" s="12" t="str">
        <f t="shared" si="200"/>
        <v>Reddit Jumpchain Drive/Completed</v>
      </c>
    </row>
    <row r="2302">
      <c r="A2302" s="12" t="str">
        <f>HYPERLINK("https://drive.google.com/file/d/1eS2g0fDg-7eWyJiluGb5b-jzf2IM29gj/view?usp=drivesdk","Storage Wars Jumpchain v.1.pdf")</f>
        <v>Storage Wars Jumpchain v.1.pdf</v>
      </c>
      <c r="B2302" s="12" t="str">
        <f t="shared" si="200"/>
        <v>Reddit Jumpchain Drive/Completed</v>
      </c>
    </row>
    <row r="2303">
      <c r="A2303" s="12" t="str">
        <f>HYPERLINK("https://drive.google.com/file/d/1M0z-KaKvTFpJZup3KSkE1scF3Aa38sVN/view?usp=drivesdk","Atop The Fourth Wall Jumpchain v.1.pdf")</f>
        <v>Atop The Fourth Wall Jumpchain v.1.pdf</v>
      </c>
      <c r="B2303" s="12" t="str">
        <f t="shared" si="200"/>
        <v>Reddit Jumpchain Drive/Completed</v>
      </c>
    </row>
    <row r="2304">
      <c r="A2304" s="12" t="str">
        <f>HYPERLINK("https://drive.google.com/file/d/1SxA-F8y8S11Q0lK3OHIpOjtna0nLx8wq/view?usp=drivesdk","Yakuza 0 Jumpchain v.1.pdf")</f>
        <v>Yakuza 0 Jumpchain v.1.pdf</v>
      </c>
      <c r="B2304" s="12" t="str">
        <f t="shared" si="200"/>
        <v>Reddit Jumpchain Drive/Completed</v>
      </c>
    </row>
    <row r="2305">
      <c r="A2305" s="12" t="str">
        <f>HYPERLINK("https://drive.google.com/file/d/1K9PdjyMK2aIS6gv4INeGLth3y9guFt34/view?usp=drivesdk","Kara no Kyoukai (V1.3).pdf")</f>
        <v>Kara no Kyoukai (V1.3).pdf</v>
      </c>
      <c r="B2305" s="12" t="str">
        <f t="shared" si="200"/>
        <v>Reddit Jumpchain Drive/Completed</v>
      </c>
    </row>
    <row r="2306">
      <c r="A2306" s="12" t="str">
        <f>HYPERLINK("https://drive.google.com/file/d/1fonMuRWRKjOu5UxJKiIKvvhm7q4fAoVW/view?usp=drivesdk","Arknights Jumpchain.pdf")</f>
        <v>Arknights Jumpchain.pdf</v>
      </c>
      <c r="B2306" s="12" t="str">
        <f t="shared" si="200"/>
        <v>Reddit Jumpchain Drive/Completed</v>
      </c>
    </row>
    <row r="2307">
      <c r="A2307" s="12" t="str">
        <f>HYPERLINK("https://drive.google.com/file/d/1nCn4EOiOOzCojR73iXvshTAcfWB2iv3c/view?usp=drivesdk","Guild Wars 2.pdf")</f>
        <v>Guild Wars 2.pdf</v>
      </c>
      <c r="B2307" s="12" t="str">
        <f t="shared" si="200"/>
        <v>Reddit Jumpchain Drive/Completed</v>
      </c>
    </row>
    <row r="2308">
      <c r="A2308" s="12" t="str">
        <f>HYPERLINK("https://drive.google.com/file/d/1ry4HBbkNjXaiHJkSyAJxy4VhTQaioFWZ/view?usp=drivesdk","Unreal World v1.2.pdf")</f>
        <v>Unreal World v1.2.pdf</v>
      </c>
      <c r="B2308" s="12" t="str">
        <f t="shared" si="200"/>
        <v>Reddit Jumpchain Drive/Completed</v>
      </c>
    </row>
    <row r="2309">
      <c r="A2309" s="12" t="str">
        <f>HYPERLINK("https://drive.google.com/file/d/1eDAwixzrN9D9JI6aSyr0SoINmBU-N8BN/view?usp=drivesdk","Spirit Of The North Jump.pdf")</f>
        <v>Spirit Of The North Jump.pdf</v>
      </c>
      <c r="B2309" s="12" t="str">
        <f t="shared" si="200"/>
        <v>Reddit Jumpchain Drive/Completed</v>
      </c>
    </row>
    <row r="2310">
      <c r="A2310" s="12" t="str">
        <f>HYPERLINK("https://drive.google.com/file/d/1mfVZOpE2nr-re7AITdAIPj8H5iY_0Xxb/view?usp=drivesdk","Quest for Glory 4-5.pdf")</f>
        <v>Quest for Glory 4-5.pdf</v>
      </c>
      <c r="B2310" s="12" t="str">
        <f t="shared" si="200"/>
        <v>Reddit Jumpchain Drive/Completed</v>
      </c>
    </row>
    <row r="2311">
      <c r="A2311" s="12" t="str">
        <f>HYPERLINK("https://drive.google.com/file/d/1KWBhrOx_pRSbiQ210L1e6qtmPikwyaXn/view?usp=drivesdk","War of the Jumper (end jump, hero version) [initial release version].pdf")</f>
        <v>War of the Jumper (end jump, hero version) [initial release version].pdf</v>
      </c>
      <c r="B2311" s="12" t="str">
        <f t="shared" si="200"/>
        <v>Reddit Jumpchain Drive/Completed</v>
      </c>
    </row>
    <row r="2312">
      <c r="A2312" s="12" t="str">
        <f>HYPERLINK("https://drive.google.com/file/d/1PbSLzMgzxtnRdNiKhzn1cj3oSR2GRzBt/view?usp=drivesdk","Red Dead Redemption 2 Jump.pdf")</f>
        <v>Red Dead Redemption 2 Jump.pdf</v>
      </c>
      <c r="B2312" s="12" t="str">
        <f t="shared" si="200"/>
        <v>Reddit Jumpchain Drive/Completed</v>
      </c>
    </row>
    <row r="2313">
      <c r="A2313" s="12" t="str">
        <f>HYPERLINK("https://drive.google.com/file/d/1l0sosy6Y4YfTDanmVNnthYKIrRTi6Zbr/view?usp=drivesdk","The Laughing Salesman Jumpchain v.1.pdf")</f>
        <v>The Laughing Salesman Jumpchain v.1.pdf</v>
      </c>
      <c r="B2313" s="12" t="str">
        <f t="shared" si="200"/>
        <v>Reddit Jumpchain Drive/Completed</v>
      </c>
    </row>
    <row r="2314">
      <c r="A2314" s="12" t="str">
        <f>HYPERLINK("https://drive.google.com/file/d/1xvRFuhyLoLxG4u_bPnTArmefO8Yd_0OD/view?usp=drivesdk","Revolutionary Girl Utena Jumpchain v.1.pdf")</f>
        <v>Revolutionary Girl Utena Jumpchain v.1.pdf</v>
      </c>
      <c r="B2314" s="12" t="str">
        <f t="shared" si="200"/>
        <v>Reddit Jumpchain Drive/Completed</v>
      </c>
    </row>
    <row r="2315">
      <c r="A2315" s="12" t="str">
        <f>HYPERLINK("https://drive.google.com/file/d/1i9Js6W-U1-w0qoWPN44V6zX_O4A-cHDR/view?usp=drivesdk","Law And Order Jumpchain v.1.pdf")</f>
        <v>Law And Order Jumpchain v.1.pdf</v>
      </c>
      <c r="B2315" s="12" t="str">
        <f t="shared" si="200"/>
        <v>Reddit Jumpchain Drive/Completed</v>
      </c>
    </row>
    <row r="2316">
      <c r="A2316" s="12" t="str">
        <f>HYPERLINK("https://drive.google.com/file/d/1UuSMNGTP0vZuiABlwQroAW52whiwB0e5/view?usp=drivesdk","Valley Jumpchain v.1.pdf")</f>
        <v>Valley Jumpchain v.1.pdf</v>
      </c>
      <c r="B2316" s="12" t="str">
        <f t="shared" si="200"/>
        <v>Reddit Jumpchain Drive/Completed</v>
      </c>
    </row>
    <row r="2317">
      <c r="A2317" s="12" t="str">
        <f>HYPERLINK("https://drive.google.com/file/d/1x-i_UJG7pxmFbV7l6FAAxReb62OEnm5-/view?usp=drivesdk","There Is No Epic Loot Here, Only Puns Jump (V1.1).pdf")</f>
        <v>There Is No Epic Loot Here, Only Puns Jump (V1.1).pdf</v>
      </c>
      <c r="B2317" s="12" t="str">
        <f t="shared" si="200"/>
        <v>Reddit Jumpchain Drive/Completed</v>
      </c>
    </row>
    <row r="2318">
      <c r="A2318" s="12" t="str">
        <f>HYPERLINK("https://drive.google.com/file/d/1uD66KodZBP4FTdLjBXx6yhVKVEVhic3r/view?usp=drivesdk","XCrawl Jumpchain 1.0.pdf")</f>
        <v>XCrawl Jumpchain 1.0.pdf</v>
      </c>
      <c r="B2318" s="12" t="str">
        <f t="shared" si="200"/>
        <v>Reddit Jumpchain Drive/Completed</v>
      </c>
    </row>
    <row r="2319">
      <c r="A2319" s="12" t="str">
        <f>HYPERLINK("https://drive.google.com/file/d/1WkLQhYa76Ao6u-7uhw-wtAWbGgwT6Tsh/view?usp=drivesdk","Jujutsu Kaisen V1.0.pdf")</f>
        <v>Jujutsu Kaisen V1.0.pdf</v>
      </c>
      <c r="B2319" s="12" t="str">
        <f t="shared" si="200"/>
        <v>Reddit Jumpchain Drive/Completed</v>
      </c>
    </row>
    <row r="2320">
      <c r="A2320" s="12" t="str">
        <f>HYPERLINK("https://drive.google.com/file/d/15Bplhvnm1kCtrMFTdjtxiC3u0N8BIThu/view?usp=drivesdk","Tera Jumpchain 1.1.pdf")</f>
        <v>Tera Jumpchain 1.1.pdf</v>
      </c>
      <c r="B2320" s="12" t="str">
        <f t="shared" si="200"/>
        <v>Reddit Jumpchain Drive/Completed</v>
      </c>
    </row>
    <row r="2321">
      <c r="A2321" s="12" t="str">
        <f>HYPERLINK("https://drive.google.com/file/d/1ra6m2hNcGDCSbtpPbC6gp9hfrgHqvTIm/view?usp=drivesdk","Science and Futurism with Isaac Arthur CYOA (Jumpchain Compatible) (V1.1).pdf")</f>
        <v>Science and Futurism with Isaac Arthur CYOA (Jumpchain Compatible) (V1.1).pdf</v>
      </c>
      <c r="B2321" s="12" t="str">
        <f t="shared" si="200"/>
        <v>Reddit Jumpchain Drive/Completed</v>
      </c>
    </row>
    <row r="2322">
      <c r="A2322" s="12" t="str">
        <f>HYPERLINK("https://drive.google.com/file/d/1VI-gQLchgEmXgdHLJUCVADcpKDSP7t54/view?usp=drivesdk","Azeroth Series - Hearthstone Edition JumpChain.pdf")</f>
        <v>Azeroth Series - Hearthstone Edition JumpChain.pdf</v>
      </c>
      <c r="B2322" s="12" t="str">
        <f t="shared" si="200"/>
        <v>Reddit Jumpchain Drive/Completed</v>
      </c>
    </row>
    <row r="2323">
      <c r="A2323" s="12" t="str">
        <f>HYPERLINK("https://drive.google.com/file/d/1wRTnTU4Ped6PKAK9XTJcHeWO5MRnUXXI/view?usp=drivesdk","Sims 4 Jumpchain 2.6.pdf")</f>
        <v>Sims 4 Jumpchain 2.6.pdf</v>
      </c>
      <c r="B2323" s="12" t="str">
        <f t="shared" si="200"/>
        <v>Reddit Jumpchain Drive/Completed</v>
      </c>
    </row>
    <row r="2324">
      <c r="A2324" s="12" t="str">
        <f>HYPERLINK("https://drive.google.com/file/d/1tGhDALVyVeH8yXat0tJpMvfo_hvrde-H/view?usp=drivesdk","A World Where Everything Definitely Becomes BL vs The Man Who Definitely Doesn_t Want To Be in a BL Jumpchain V1.0.pdf")</f>
        <v>A World Where Everything Definitely Becomes BL vs The Man Who Definitely Doesn_t Want To Be in a BL Jumpchain V1.0.pdf</v>
      </c>
      <c r="B2324" s="12" t="str">
        <f t="shared" si="200"/>
        <v>Reddit Jumpchain Drive/Completed</v>
      </c>
    </row>
    <row r="2325">
      <c r="A2325" s="12" t="str">
        <f>HYPERLINK("https://drive.google.com/file/d/1kAsaNdqZNgnxsG7fD38EloYRpphtBq6Y/view?usp=drivesdk","Amalgam Comics.pdf")</f>
        <v>Amalgam Comics.pdf</v>
      </c>
      <c r="B2325" s="12" t="str">
        <f t="shared" si="200"/>
        <v>Reddit Jumpchain Drive/Completed</v>
      </c>
    </row>
    <row r="2326">
      <c r="A2326" s="12" t="str">
        <f>HYPERLINK("https://drive.google.com/file/d/1yp-k92APeOL4GAlcEHZYl-TU5PLpK1TQ/view?usp=drivesdk","Library of heavens path V2.5 jumpchain.pdf")</f>
        <v>Library of heavens path V2.5 jumpchain.pdf</v>
      </c>
      <c r="B2326" s="12" t="str">
        <f t="shared" si="200"/>
        <v>Reddit Jumpchain Drive/Completed</v>
      </c>
    </row>
    <row r="2327">
      <c r="A2327" s="12" t="str">
        <f>HYPERLINK("https://drive.google.com/file/d/1VXn9Ypk7KK4eBgK2P7cJ7Y34ytX6TY83/view?usp=drivesdk","TDG Revamped.pdf")</f>
        <v>TDG Revamped.pdf</v>
      </c>
      <c r="B2327" s="12" t="str">
        <f t="shared" si="200"/>
        <v>Reddit Jumpchain Drive/Completed</v>
      </c>
    </row>
    <row r="2328">
      <c r="A2328" s="12" t="str">
        <f>HYPERLINK("https://drive.google.com/file/d/1iE7bEmVgcA6sE0KlvM-hYeBoQwSUUdKN/view?usp=drivesdk","God Eater.pdf")</f>
        <v>God Eater.pdf</v>
      </c>
      <c r="B2328" s="12" t="str">
        <f t="shared" si="200"/>
        <v>Reddit Jumpchain Drive/Completed</v>
      </c>
    </row>
    <row r="2329">
      <c r="A2329" s="12" t="str">
        <f>HYPERLINK("https://drive.google.com/file/d/17mn74DxvUUrQjhH4GpRkOGcV5TlqB4t7/view?usp=drivesdk","Star Ocean Jumpdoc.pdf")</f>
        <v>Star Ocean Jumpdoc.pdf</v>
      </c>
      <c r="B2329" s="12" t="str">
        <f t="shared" si="200"/>
        <v>Reddit Jumpchain Drive/Completed</v>
      </c>
    </row>
    <row r="2330">
      <c r="A2330" s="12" t="str">
        <f>HYPERLINK("https://drive.google.com/file/d/1tNkVC1q8M7ZkcPmPfGBPu4e7UgVhzOvN/view?usp=drivesdk","God Of War (2018) Jump.pdf")</f>
        <v>God Of War (2018) Jump.pdf</v>
      </c>
      <c r="B2330" s="12" t="str">
        <f t="shared" si="200"/>
        <v>Reddit Jumpchain Drive/Completed</v>
      </c>
    </row>
    <row r="2331">
      <c r="A2331" s="12" t="str">
        <f>HYPERLINK("https://drive.google.com/file/d/1qrBGM4kyNiesB_k291pxYf44FXk9LL63/view?usp=drivesdk","The Umbrella Academy Jump.pdf")</f>
        <v>The Umbrella Academy Jump.pdf</v>
      </c>
      <c r="B2331" s="12" t="str">
        <f t="shared" si="200"/>
        <v>Reddit Jumpchain Drive/Completed</v>
      </c>
    </row>
    <row r="2332">
      <c r="A2332" s="12" t="str">
        <f>HYPERLINK("https://drive.google.com/file/d/13nGSzvh41xC4A5mB1YOm6qwKi-Fc480A/view?usp=drivesdk","Completionist Chronicles Jumpchain.pdf")</f>
        <v>Completionist Chronicles Jumpchain.pdf</v>
      </c>
      <c r="B2332" s="12" t="str">
        <f t="shared" si="200"/>
        <v>Reddit Jumpchain Drive/Completed</v>
      </c>
    </row>
    <row r="2333">
      <c r="A2333" s="12" t="str">
        <f>HYPERLINK("https://drive.google.com/file/d/1njZoloKo4B4yM6m6rwek7vn58q3avXzp/view?usp=drivesdk","Age of Empires II.pdf")</f>
        <v>Age of Empires II.pdf</v>
      </c>
      <c r="B2333" s="12" t="str">
        <f t="shared" si="200"/>
        <v>Reddit Jumpchain Drive/Completed</v>
      </c>
    </row>
    <row r="2334">
      <c r="A2334" s="12" t="str">
        <f>HYPERLINK("https://drive.google.com/file/d/1OBgxI1z6f9AjA2dn7CjLcvfiwvju-HZ8/view?usp=drivesdk","Victorian Jump.pdf")</f>
        <v>Victorian Jump.pdf</v>
      </c>
      <c r="B2334" s="12" t="str">
        <f t="shared" si="200"/>
        <v>Reddit Jumpchain Drive/Completed</v>
      </c>
    </row>
    <row r="2335">
      <c r="A2335" s="12" t="str">
        <f>HYPERLINK("https://drive.google.com/file/d/1adCzRa6SdQfKPpliVqmnHiBrQSAXcbi0/view?usp=drivesdk","Pale Jumpchain 1.4.pdf")</f>
        <v>Pale Jumpchain 1.4.pdf</v>
      </c>
      <c r="B2335" s="12" t="str">
        <f t="shared" si="200"/>
        <v>Reddit Jumpchain Drive/Completed</v>
      </c>
    </row>
    <row r="2336">
      <c r="A2336" s="12" t="str">
        <f>HYPERLINK("https://drive.google.com/file/d/1nsR3h4T1NbUXmCanY6o7eZ9BCiLwhV0X/view?usp=drivesdk","The Order Jumpchain 1.2.pdf")</f>
        <v>The Order Jumpchain 1.2.pdf</v>
      </c>
      <c r="B2336" s="12" t="str">
        <f t="shared" si="200"/>
        <v>Reddit Jumpchain Drive/Completed</v>
      </c>
    </row>
    <row r="2337">
      <c r="A2337" s="12" t="str">
        <f>HYPERLINK("https://drive.google.com/file/d/1lAj1peaciifAWfgMD-6BQklT6sxovzZO/view?usp=drivesdk","Steven Universe v1.0.pdf")</f>
        <v>Steven Universe v1.0.pdf</v>
      </c>
      <c r="B2337" s="12" t="str">
        <f t="shared" si="200"/>
        <v>Reddit Jumpchain Drive/Completed</v>
      </c>
    </row>
    <row r="2338">
      <c r="A2338" s="12" t="str">
        <f>HYPERLINK("https://drive.google.com/file/d/1-G-vncMoNOrYEw3NoQ5CoFjKUo9Iwiyk/view?usp=drivesdk","Super Powereds Jump v 1.pdf")</f>
        <v>Super Powereds Jump v 1.pdf</v>
      </c>
      <c r="B2338" s="12" t="str">
        <f t="shared" si="200"/>
        <v>Reddit Jumpchain Drive/Completed</v>
      </c>
    </row>
    <row r="2339">
      <c r="A2339" s="12" t="str">
        <f>HYPERLINK("https://drive.google.com/file/d/18I_YXmuo8jU189t2P9Roc2e1XnQkctgF/view?usp=drivesdk","Seinarukana  _ The Spirit of Eternity Sword _.pdf")</f>
        <v>Seinarukana  _ The Spirit of Eternity Sword _.pdf</v>
      </c>
      <c r="B2339" s="12" t="str">
        <f t="shared" si="200"/>
        <v>Reddit Jumpchain Drive/Completed</v>
      </c>
    </row>
    <row r="2340">
      <c r="A2340" s="12" t="str">
        <f>HYPERLINK("https://drive.google.com/file/d/1DgX7sUteD39Z-iHSVMfhJufXdWQEoy-A/view?usp=drivesdk","Song of Horror v1.1.pdf")</f>
        <v>Song of Horror v1.1.pdf</v>
      </c>
      <c r="B2340" s="12" t="str">
        <f t="shared" si="200"/>
        <v>Reddit Jumpchain Drive/Completed</v>
      </c>
    </row>
    <row r="2341">
      <c r="A2341" s="12" t="str">
        <f>HYPERLINK("https://drive.google.com/file/d/1bIhytVL6zeIanpfDNr9R4bp1Kcg4u8Ro/view?usp=drivesdk","Jumpchain - Battle for Dream Island (v2.0).pdf")</f>
        <v>Jumpchain - Battle for Dream Island (v2.0).pdf</v>
      </c>
      <c r="B2341" s="12" t="str">
        <f t="shared" si="200"/>
        <v>Reddit Jumpchain Drive/Completed</v>
      </c>
    </row>
    <row r="2342">
      <c r="A2342" s="12" t="str">
        <f>HYPERLINK("https://drive.google.com/file/d/1rqsIsiTmLrOCl0DGHXc6zR6cMeGLsKP-/view?usp=drivesdk","Equilibrium Jump v1.2.pdf")</f>
        <v>Equilibrium Jump v1.2.pdf</v>
      </c>
      <c r="B2342" s="12" t="str">
        <f t="shared" si="200"/>
        <v>Reddit Jumpchain Drive/Completed</v>
      </c>
    </row>
    <row r="2343">
      <c r="A2343" s="12" t="str">
        <f>HYPERLINK("https://drive.google.com/file/d/1lMEtlrnBohQpvrOBE2q3DH5yIHqQxwwa/view?usp=drivesdk","MadWorld Jump 1.0.pdf")</f>
        <v>MadWorld Jump 1.0.pdf</v>
      </c>
      <c r="B2343" s="12" t="str">
        <f t="shared" si="200"/>
        <v>Reddit Jumpchain Drive/Completed</v>
      </c>
    </row>
    <row r="2344">
      <c r="A2344" s="12" t="str">
        <f>HYPERLINK("https://drive.google.com/file/d/1J2dVC9PgyYNWMd90Y5mHyT-_-lP6jWgD/view?usp=drivesdk","Jumpchain - King for Another Day.pdf")</f>
        <v>Jumpchain - King for Another Day.pdf</v>
      </c>
      <c r="B2344" s="12" t="str">
        <f t="shared" si="200"/>
        <v>Reddit Jumpchain Drive/Completed</v>
      </c>
    </row>
    <row r="2345">
      <c r="A2345" s="12" t="str">
        <f>HYPERLINK("https://drive.google.com/file/d/1vhOWGaHib_VxJZzOYI08__rbCgTeXbY9/view?usp=drivesdk","Last of Us Jumpchain.pdf")</f>
        <v>Last of Us Jumpchain.pdf</v>
      </c>
      <c r="B2345" s="12" t="str">
        <f t="shared" si="200"/>
        <v>Reddit Jumpchain Drive/Completed</v>
      </c>
    </row>
    <row r="2346">
      <c r="A2346" s="12" t="str">
        <f>HYPERLINK("https://drive.google.com/file/d/1VoqN5izKcpbG4o8cFoouuUDANBU_DV9F/view?usp=drivesdk","Nidome no Yuusha Jumpchain V1.0.pdf")</f>
        <v>Nidome no Yuusha Jumpchain V1.0.pdf</v>
      </c>
      <c r="B2346" s="12" t="str">
        <f t="shared" si="200"/>
        <v>Reddit Jumpchain Drive/Completed</v>
      </c>
    </row>
    <row r="2347">
      <c r="A2347" s="12" t="str">
        <f>HYPERLINK("https://drive.google.com/file/d/1tuTuBK92x9m7oGgo626kezT7CIszcoGA/view?usp=drivesdk","Batman_ Arkham Series.pdf")</f>
        <v>Batman_ Arkham Series.pdf</v>
      </c>
      <c r="B2347" s="12" t="str">
        <f t="shared" si="200"/>
        <v>Reddit Jumpchain Drive/Completed</v>
      </c>
    </row>
    <row r="2348">
      <c r="A2348" s="12" t="str">
        <f>HYPERLINK("https://drive.google.com/file/d/1WeMI_n3GE7E7hgBgwOUO6iQRbU__Sx9c/view?usp=drivesdk","Mad Max_ The Video Game Jump.pdf")</f>
        <v>Mad Max_ The Video Game Jump.pdf</v>
      </c>
      <c r="B2348" s="12" t="str">
        <f t="shared" si="200"/>
        <v>Reddit Jumpchain Drive/Completed</v>
      </c>
    </row>
    <row r="2349">
      <c r="A2349" s="12" t="str">
        <f>HYPERLINK("https://drive.google.com/file/d/1Hh-Uns-uAw_7u1YYTYiE_Q9UoxWQUlKh/view?usp=drivesdk","Project power 1.0.pdf")</f>
        <v>Project power 1.0.pdf</v>
      </c>
      <c r="B2349" s="12" t="str">
        <f t="shared" si="200"/>
        <v>Reddit Jumpchain Drive/Completed</v>
      </c>
    </row>
    <row r="2350">
      <c r="A2350" s="12" t="str">
        <f>HYPERLINK("https://drive.google.com/file/d/13NFYShu0zhW8b38fAoiBBFckwWL_4lSw/view?usp=drivesdk","Civilizaton Beyond Earth Jumpchain v1.1.pdf")</f>
        <v>Civilizaton Beyond Earth Jumpchain v1.1.pdf</v>
      </c>
      <c r="B2350" s="12" t="str">
        <f t="shared" si="200"/>
        <v>Reddit Jumpchain Drive/Completed</v>
      </c>
    </row>
    <row r="2351">
      <c r="A2351" s="12" t="str">
        <f>HYPERLINK("https://drive.google.com/file/d/1Uabpm4KWdhxEUC8IbFq8AKZrJSdR4D7_/view?usp=drivesdk","Telltale_s The Walking Dead Jump v1.1.pdf")</f>
        <v>Telltale_s The Walking Dead Jump v1.1.pdf</v>
      </c>
      <c r="B2351" s="12" t="str">
        <f t="shared" si="200"/>
        <v>Reddit Jumpchain Drive/Completed</v>
      </c>
    </row>
    <row r="2352">
      <c r="A2352" s="12" t="str">
        <f>HYPERLINK("https://drive.google.com/file/d/1UtS-Wfvyr41bzREbLNjYpkTjVrWdhIb4/view?usp=drivesdk","Good Hunting (Love Death + Robots) Jumpchain.pdf")</f>
        <v>Good Hunting (Love Death + Robots) Jumpchain.pdf</v>
      </c>
      <c r="B2352" s="12" t="str">
        <f t="shared" si="200"/>
        <v>Reddit Jumpchain Drive/Completed</v>
      </c>
    </row>
    <row r="2353">
      <c r="A2353" s="12" t="str">
        <f>HYPERLINK("https://drive.google.com/file/d/1ftcYEKKU65Rqx4MSaac5Og_tmzslHwbB/view?usp=drivesdk","Helltaker Jumpchain + Examtaker DLC v1.0 (1).pdf")</f>
        <v>Helltaker Jumpchain + Examtaker DLC v1.0 (1).pdf</v>
      </c>
      <c r="B2353" s="12" t="str">
        <f t="shared" si="200"/>
        <v>Reddit Jumpchain Drive/Completed</v>
      </c>
    </row>
    <row r="2354">
      <c r="A2354" s="12" t="str">
        <f>HYPERLINK("https://drive.google.com/file/d/1vhokB0Y0P1qEvKzKxnCdUqUsXLCI9c8H/view?usp=drivesdk","Area D - Inou Ryouiki Jumpchain.pdf")</f>
        <v>Area D - Inou Ryouiki Jumpchain.pdf</v>
      </c>
      <c r="B2354" s="12" t="str">
        <f t="shared" si="200"/>
        <v>Reddit Jumpchain Drive/Completed</v>
      </c>
    </row>
    <row r="2355">
      <c r="A2355" s="12" t="str">
        <f>HYPERLINK("https://drive.google.com/file/d/1KmA4vKfUlaklvO_nbWMYoP1s_fGV-p3C/view?usp=drivesdk","The Flight of Dragons Jumpchain 1.0.pdf")</f>
        <v>The Flight of Dragons Jumpchain 1.0.pdf</v>
      </c>
      <c r="B2355" s="12" t="str">
        <f t="shared" si="200"/>
        <v>Reddit Jumpchain Drive/Completed</v>
      </c>
    </row>
    <row r="2356">
      <c r="A2356" s="12" t="str">
        <f>HYPERLINK("https://drive.google.com/file/d/1a3L7Lp1cgreLkQaYek2Vg-1HF7irOw70/view?usp=drivesdk","Fire Force Jump.pdf")</f>
        <v>Fire Force Jump.pdf</v>
      </c>
      <c r="B2356" s="12" t="str">
        <f t="shared" si="200"/>
        <v>Reddit Jumpchain Drive/Completed</v>
      </c>
    </row>
    <row r="2357">
      <c r="A2357" s="12" t="str">
        <f>HYPERLINK("https://drive.google.com/file/d/1NWa5g80zh9zNerQCNdKvF61dsyMRvuki/view?usp=drivesdk","Fairy Tail Cyoa Jumpchain Ver 2.pdf")</f>
        <v>Fairy Tail Cyoa Jumpchain Ver 2.pdf</v>
      </c>
      <c r="B2357" s="12" t="str">
        <f t="shared" si="200"/>
        <v>Reddit Jumpchain Drive/Completed</v>
      </c>
    </row>
    <row r="2358">
      <c r="A2358" s="12" t="str">
        <f>HYPERLINK("https://drive.google.com/file/d/10A-tTQbeUNGHLKC6DNkPIjXoYNHY3Wa3/view?usp=drivesdk","Overlord - PJ Edition.pdf")</f>
        <v>Overlord - PJ Edition.pdf</v>
      </c>
      <c r="B2358" s="12" t="str">
        <f t="shared" si="200"/>
        <v>Reddit Jumpchain Drive/Completed</v>
      </c>
    </row>
    <row r="2359">
      <c r="A2359" s="12" t="str">
        <f>HYPERLINK("https://drive.google.com/file/d/1XGq0vhNWRP2jtu-k7nAVZdMVd6X9Oqwn/view?usp=drivesdk","Loop Hero.pdf")</f>
        <v>Loop Hero.pdf</v>
      </c>
      <c r="B2359" s="12" t="str">
        <f t="shared" si="200"/>
        <v>Reddit Jumpchain Drive/Completed</v>
      </c>
    </row>
    <row r="2360">
      <c r="A2360" s="12" t="str">
        <f>HYPERLINK("https://drive.google.com/file/d/1uXQ3ZU-GnU0cxKBYlw-_SPfg8_ZT-mTt/view?usp=drivesdk","Machikado Mazoku Jump.pdf")</f>
        <v>Machikado Mazoku Jump.pdf</v>
      </c>
      <c r="B2360" s="12" t="str">
        <f t="shared" si="200"/>
        <v>Reddit Jumpchain Drive/Completed</v>
      </c>
    </row>
    <row r="2361">
      <c r="A2361" s="12" t="str">
        <f>HYPERLINK("https://drive.google.com/file/d/1WX_xyicOQzFCs3BjtVxzsYzL7ZcRodUh/view?usp=drivesdk","Merlin Miniseries 1998 Jump – The Reddit Edition V1.0.pdf")</f>
        <v>Merlin Miniseries 1998 Jump – The Reddit Edition V1.0.pdf</v>
      </c>
      <c r="B2361" s="12" t="str">
        <f t="shared" si="200"/>
        <v>Reddit Jumpchain Drive/Completed</v>
      </c>
    </row>
    <row r="2362">
      <c r="A2362" s="12" t="str">
        <f>HYPERLINK("https://drive.google.com/file/d/1-hXYqnoa6tG7c9tXsI9mg2Jj6V69phL5/view?usp=drivesdk","Fringe.pdf")</f>
        <v>Fringe.pdf</v>
      </c>
      <c r="B2362" s="12" t="str">
        <f t="shared" si="200"/>
        <v>Reddit Jumpchain Drive/Completed</v>
      </c>
    </row>
    <row r="2363">
      <c r="A2363" s="12" t="str">
        <f>HYPERLINK("https://drive.google.com/file/d/1wycAS0J2tnrXOurT5Z2LbQxcCaP2lpDO/view?usp=drivesdk","Modern Warfare Jumpchain V1.2.pdf")</f>
        <v>Modern Warfare Jumpchain V1.2.pdf</v>
      </c>
      <c r="B2363" s="12" t="str">
        <f t="shared" si="200"/>
        <v>Reddit Jumpchain Drive/Completed</v>
      </c>
    </row>
    <row r="2364">
      <c r="A2364" s="12" t="str">
        <f>HYPERLINK("https://drive.google.com/file/d/1SE8EmOeH43EM5ZMCexSoZ2u_9cKZx558/view?usp=drivesdk","Godzilla (Heisei).pdf")</f>
        <v>Godzilla (Heisei).pdf</v>
      </c>
      <c r="B2364" s="12" t="str">
        <f t="shared" si="200"/>
        <v>Reddit Jumpchain Drive/Completed</v>
      </c>
    </row>
    <row r="2365">
      <c r="A2365" s="12" t="str">
        <f>HYPERLINK("https://drive.google.com/file/d/1ISY7elzGMGyw33PxVcANojnzp_RVxk6f/view?usp=drivesdk","The New Order_ Last Days of Europe Jump V1.1.pdf")</f>
        <v>The New Order_ Last Days of Europe Jump V1.1.pdf</v>
      </c>
      <c r="B2365" s="12" t="str">
        <f t="shared" si="200"/>
        <v>Reddit Jumpchain Drive/Completed</v>
      </c>
    </row>
    <row r="2366">
      <c r="A2366" s="12" t="str">
        <f>HYPERLINK("https://drive.google.com/file/d/1My5AhPnkpyOj91dswOvBXDH_uCebqfNV/view?usp=drivesdk","The Owl House Jumpchain.pdf")</f>
        <v>The Owl House Jumpchain.pdf</v>
      </c>
      <c r="B2366" s="12" t="str">
        <f t="shared" si="200"/>
        <v>Reddit Jumpchain Drive/Completed</v>
      </c>
    </row>
    <row r="2367">
      <c r="A2367" s="12" t="str">
        <f>HYPERLINK("https://drive.google.com/file/d/1J-3B33GHFe0BlTEcaPmmS6wT7DCDq6qy/view?usp=drivesdk","Hive.pdf")</f>
        <v>Hive.pdf</v>
      </c>
      <c r="B2367" s="12" t="str">
        <f t="shared" si="200"/>
        <v>Reddit Jumpchain Drive/Completed</v>
      </c>
    </row>
    <row r="2368">
      <c r="A2368" s="12" t="str">
        <f>HYPERLINK("https://drive.google.com/file/d/1v_5TudRBsq0TdlaEpz54FtmVrsBrt823/view?usp=drivesdk","The Monster House(2006) Jump.pdf")</f>
        <v>The Monster House(2006) Jump.pdf</v>
      </c>
      <c r="B2368" s="12" t="str">
        <f t="shared" si="200"/>
        <v>Reddit Jumpchain Drive/Completed</v>
      </c>
    </row>
    <row r="2369">
      <c r="A2369" s="12" t="str">
        <f>HYPERLINK("https://drive.google.com/file/d/1D_u8D6E3agG4xgXXNMnXECMfhKeFga1d/view?usp=drivesdk","DragonVale Jump 1.1.pdf")</f>
        <v>DragonVale Jump 1.1.pdf</v>
      </c>
      <c r="B2369" s="12" t="str">
        <f t="shared" si="200"/>
        <v>Reddit Jumpchain Drive/Completed</v>
      </c>
    </row>
    <row r="2370">
      <c r="A2370" s="12" t="str">
        <f>HYPERLINK("https://drive.google.com/file/d/1754Ot9MLnCIACjBSwXcVVb70OjyVcb3R/view?usp=drivesdk","Jump Force Jumpchain v.1.pdf")</f>
        <v>Jump Force Jumpchain v.1.pdf</v>
      </c>
      <c r="B2370" s="12" t="str">
        <f t="shared" si="200"/>
        <v>Reddit Jumpchain Drive/Completed</v>
      </c>
    </row>
    <row r="2371">
      <c r="A2371" s="12" t="str">
        <f>HYPERLINK("https://drive.google.com/file/d/1NXSLqImzrR0JuB13SHbafrh7qdD-HXbm/view?usp=drivesdk","Rage 2 Jumpchain v.1.pdf")</f>
        <v>Rage 2 Jumpchain v.1.pdf</v>
      </c>
      <c r="B2371" s="12" t="str">
        <f t="shared" si="200"/>
        <v>Reddit Jumpchain Drive/Completed</v>
      </c>
    </row>
    <row r="2372">
      <c r="A2372" s="12" t="str">
        <f>HYPERLINK("https://drive.google.com/file/d/1RA_-cxwZdB8p33Y9Sd1q-n9wIpSvylsA/view?usp=drivesdk","SAW Franchise Jump V1.0 - The Reddit Edition.pdf")</f>
        <v>SAW Franchise Jump V1.0 - The Reddit Edition.pdf</v>
      </c>
      <c r="B2372" s="12" t="str">
        <f t="shared" si="200"/>
        <v>Reddit Jumpchain Drive/Completed</v>
      </c>
    </row>
    <row r="2373">
      <c r="A2373" s="12" t="str">
        <f>HYPERLINK("https://drive.google.com/file/d/1fFD-cohmUNA8Px9KSZfSGfAT05CL7Jke/view?usp=drivesdk","Supernatural V2.pdf")</f>
        <v>Supernatural V2.pdf</v>
      </c>
      <c r="B2373" s="12" t="str">
        <f t="shared" si="200"/>
        <v>Reddit Jumpchain Drive/Completed</v>
      </c>
    </row>
    <row r="2374">
      <c r="A2374" s="12" t="str">
        <f>HYPERLINK("https://drive.google.com/file/d/1dqQlDI4ud44wy17LebAa1VFXE4x5gsZh/view?usp=drivesdk","Scorsese_s Silence v1.0.pdf")</f>
        <v>Scorsese_s Silence v1.0.pdf</v>
      </c>
      <c r="B2374" s="12" t="str">
        <f t="shared" si="200"/>
        <v>Reddit Jumpchain Drive/Completed</v>
      </c>
    </row>
    <row r="2375">
      <c r="A2375" s="12" t="str">
        <f>HYPERLINK("https://drive.google.com/file/d/1SDTbid986PE_Y4t5o1qV-NboJGWIKvYd/view?usp=drivesdk","Sunshine (2007) Jump V1.0 - The Reddit Edition.pdf")</f>
        <v>Sunshine (2007) Jump V1.0 - The Reddit Edition.pdf</v>
      </c>
      <c r="B2375" s="12" t="str">
        <f t="shared" si="200"/>
        <v>Reddit Jumpchain Drive/Completed</v>
      </c>
    </row>
    <row r="2376">
      <c r="A2376" s="12" t="str">
        <f>HYPERLINK("https://drive.google.com/file/d/16-xUYyDaC1gdt-OZxfD1q76kMVrgZ16M/view?usp=drivesdk","Outlast Jump - The Reddit Edition V1.0.pdf")</f>
        <v>Outlast Jump - The Reddit Edition V1.0.pdf</v>
      </c>
      <c r="B2376" s="12" t="str">
        <f t="shared" si="200"/>
        <v>Reddit Jumpchain Drive/Completed</v>
      </c>
    </row>
    <row r="2377">
      <c r="A2377" s="12" t="str">
        <f>HYPERLINK("https://drive.google.com/file/d/1jvFyeN_FxIw8ddxCdeSITFveb_lc-N_D/view?usp=drivesdk","Nasuverse Jumpchain - Version 1.1.0.pdf")</f>
        <v>Nasuverse Jumpchain - Version 1.1.0.pdf</v>
      </c>
      <c r="B2377" s="12" t="str">
        <f t="shared" si="200"/>
        <v>Reddit Jumpchain Drive/Completed</v>
      </c>
    </row>
    <row r="2378">
      <c r="A2378" s="12" t="str">
        <f>HYPERLINK("https://drive.google.com/file/d/19nO64mF__D4qzmw70P5WHVjIDNj3uzad/view?usp=drivesdk","DxD Universe V1.0.pdf")</f>
        <v>DxD Universe V1.0.pdf</v>
      </c>
      <c r="B2378" s="12" t="str">
        <f t="shared" si="200"/>
        <v>Reddit Jumpchain Drive/Completed</v>
      </c>
    </row>
    <row r="2379">
      <c r="A2379" s="12" t="str">
        <f>HYPERLINK("https://drive.google.com/file/d/1F_E6Xh9ORDWc-qAtfF6nHTPP8Gl3Us3z/view?usp=drivesdk","DIRE Saga Jump V 1.5.pdf")</f>
        <v>DIRE Saga Jump V 1.5.pdf</v>
      </c>
      <c r="B2379" s="12" t="str">
        <f t="shared" si="200"/>
        <v>Reddit Jumpchain Drive/Completed</v>
      </c>
    </row>
    <row r="2380">
      <c r="A2380" s="12" t="str">
        <f>HYPERLINK("https://drive.google.com/file/d/1P4hy0xtodCBmD7B_t9vjTfiEh8uETD1k/view?usp=drivesdk","Soldiers of Anarchy Jump.pdf")</f>
        <v>Soldiers of Anarchy Jump.pdf</v>
      </c>
      <c r="B2380" s="12" t="str">
        <f t="shared" si="200"/>
        <v>Reddit Jumpchain Drive/Completed</v>
      </c>
    </row>
    <row r="2381">
      <c r="A2381" s="12" t="str">
        <f>HYPERLINK("https://drive.google.com/file/d/1BACy61xg4QGFTA8qgfKepkn8wgKQFvrI/view?usp=drivesdk","Corpse Bride.pdf")</f>
        <v>Corpse Bride.pdf</v>
      </c>
      <c r="B2381" s="12" t="str">
        <f t="shared" si="200"/>
        <v>Reddit Jumpchain Drive/Completed</v>
      </c>
    </row>
    <row r="2382">
      <c r="A2382" s="12" t="str">
        <f>HYPERLINK("https://drive.google.com/file/d/1X-Omxzy1B9oIc7X0Zo3o2KshnAJes3ug/view?usp=drivesdk","Mugen Souls v2.1.pdf")</f>
        <v>Mugen Souls v2.1.pdf</v>
      </c>
      <c r="B2382" s="12" t="str">
        <f t="shared" si="200"/>
        <v>Reddit Jumpchain Drive/Completed</v>
      </c>
    </row>
    <row r="2383">
      <c r="A2383" s="12" t="str">
        <f>HYPERLINK("https://drive.google.com/file/d/10BJ6BeYyo2JKomuFr82yWuiXTqgyaaM-/view?usp=drivesdk","Skylanders Spyro_s Adventure 1.0.pdf")</f>
        <v>Skylanders Spyro_s Adventure 1.0.pdf</v>
      </c>
      <c r="B2383" s="12" t="str">
        <f t="shared" si="200"/>
        <v>Reddit Jumpchain Drive/Completed</v>
      </c>
    </row>
    <row r="2384">
      <c r="A2384" s="12" t="str">
        <f>HYPERLINK("https://drive.google.com/file/d/1LL84ZH9LfEBG-kX7rCYHx3sjzQdGu3bw/view?usp=drivesdk","Sid Meier’s Pirates Jump.pdf")</f>
        <v>Sid Meier’s Pirates Jump.pdf</v>
      </c>
      <c r="B2384" s="12" t="str">
        <f t="shared" si="200"/>
        <v>Reddit Jumpchain Drive/Completed</v>
      </c>
    </row>
    <row r="2385">
      <c r="A2385" s="12" t="str">
        <f>HYPERLINK("https://drive.google.com/file/d/19nObbo0WAunrzMM_hMHMrm9Ev_TRljZ7/view?usp=drivesdk","In Flight.pdf")</f>
        <v>In Flight.pdf</v>
      </c>
      <c r="B2385" s="12" t="str">
        <f t="shared" si="200"/>
        <v>Reddit Jumpchain Drive/Completed</v>
      </c>
    </row>
    <row r="2386">
      <c r="A2386" s="12" t="str">
        <f>HYPERLINK("https://drive.google.com/file/d/1px6aSj5zHQyz0Qj4QJMybjDCMKSVffMi/view?usp=drivesdk","The Simpsons Jump.pdf")</f>
        <v>The Simpsons Jump.pdf</v>
      </c>
      <c r="B2386" s="12" t="str">
        <f t="shared" si="200"/>
        <v>Reddit Jumpchain Drive/Completed</v>
      </c>
    </row>
    <row r="2387">
      <c r="A2387" s="12" t="str">
        <f>HYPERLINK("https://drive.google.com/file/d/15ToUkpsL10SzSKBhDR3jZq_yfA-C3NgR/view?usp=drivesdk","The Pirates of Dark Water jump v1.1.pdf")</f>
        <v>The Pirates of Dark Water jump v1.1.pdf</v>
      </c>
      <c r="B2387" s="12" t="str">
        <f t="shared" si="200"/>
        <v>Reddit Jumpchain Drive/Completed</v>
      </c>
    </row>
    <row r="2388">
      <c r="A2388" s="12" t="str">
        <f>HYPERLINK("https://drive.google.com/file/d/1nYTNZjs4C5viSrk9XzDuo-TR7pIwEOuK/view?usp=drivesdk","Crystal Watchers Magical Girl Quest Jumpchain by Delluran.pdf")</f>
        <v>Crystal Watchers Magical Girl Quest Jumpchain by Delluran.pdf</v>
      </c>
      <c r="B2388" s="12" t="str">
        <f t="shared" si="200"/>
        <v>Reddit Jumpchain Drive/Completed</v>
      </c>
    </row>
    <row r="2389">
      <c r="A2389" s="12" t="str">
        <f>HYPERLINK("https://drive.google.com/file/d/1YVXoB48nGuM5Z5ePHYW3ot1c2fLiowBv/view?usp=drivesdk","Chainsaw Man Jumpchain.pdf")</f>
        <v>Chainsaw Man Jumpchain.pdf</v>
      </c>
      <c r="B2389" s="12" t="str">
        <f t="shared" si="200"/>
        <v>Reddit Jumpchain Drive/Completed</v>
      </c>
    </row>
    <row r="2390">
      <c r="A2390" s="12" t="str">
        <f>HYPERLINK("https://drive.google.com/file/d/1lJhXdtBTUvEwuJF6wV3LyXdjT71nR9_m/view?usp=drivesdk","Aeneid Jumpchain.pdf")</f>
        <v>Aeneid Jumpchain.pdf</v>
      </c>
      <c r="B2390" s="12" t="str">
        <f t="shared" si="200"/>
        <v>Reddit Jumpchain Drive/Completed</v>
      </c>
    </row>
    <row r="2391">
      <c r="A2391" s="12" t="str">
        <f>HYPERLINK("https://drive.google.com/file/d/1Oh-CDyQYiT2Njc-hAvCUq4S29Rh4_kkQ/view?usp=drivesdk","Worlds shortest horror story Jumpchain.pdf")</f>
        <v>Worlds shortest horror story Jumpchain.pdf</v>
      </c>
      <c r="B2391" s="12" t="str">
        <f t="shared" si="200"/>
        <v>Reddit Jumpchain Drive/Completed</v>
      </c>
    </row>
    <row r="2392">
      <c r="A2392" s="12" t="str">
        <f>HYPERLINK("https://drive.google.com/file/d/1vMs0MrJmupV9wtNe7EkyMxM4hvmfQ_4c/view?usp=drivesdk","Watch_Dogs.pdf")</f>
        <v>Watch_Dogs.pdf</v>
      </c>
      <c r="B2392" s="12" t="str">
        <f t="shared" si="200"/>
        <v>Reddit Jumpchain Drive/Completed</v>
      </c>
    </row>
    <row r="2393">
      <c r="A2393" s="12" t="str">
        <f>HYPERLINK("https://drive.google.com/file/d/1KdlEDPYGZBEVutXAuWbPtFnnroiDsFQK/view?usp=drivesdk","Monica Adventures Jump V1.0.pdf")</f>
        <v>Monica Adventures Jump V1.0.pdf</v>
      </c>
      <c r="B2393" s="12" t="str">
        <f t="shared" si="200"/>
        <v>Reddit Jumpchain Drive/Completed</v>
      </c>
    </row>
    <row r="2394">
      <c r="A2394" s="12" t="str">
        <f>HYPERLINK("https://drive.google.com/file/d/1-deGRCyezMI-wJrMC5l4TPQavjtEkCWe/view?usp=drivesdk","Mushoku Tensei _ Jobless Reincarnation _ v0.2.pdf")</f>
        <v>Mushoku Tensei _ Jobless Reincarnation _ v0.2.pdf</v>
      </c>
      <c r="B2394" s="12" t="str">
        <f t="shared" si="200"/>
        <v>Reddit Jumpchain Drive/Completed</v>
      </c>
    </row>
    <row r="2395">
      <c r="A2395" s="12" t="str">
        <f>HYPERLINK("https://drive.google.com/file/d/19ZScIjTxrnTJ7KywGtmIvbIdTbqM3CFv/view?usp=drivesdk","Sekiro Jump.pdf")</f>
        <v>Sekiro Jump.pdf</v>
      </c>
      <c r="B2395" s="12" t="str">
        <f t="shared" si="200"/>
        <v>Reddit Jumpchain Drive/Completed</v>
      </c>
    </row>
    <row r="2396">
      <c r="A2396" s="12" t="str">
        <f>HYPERLINK("https://drive.google.com/file/d/1jlWnrERysceYm0hnnwgo6kbYm6Whr7wn/view?usp=drivesdk","Dexter(The TV Series) Jump.pdf")</f>
        <v>Dexter(The TV Series) Jump.pdf</v>
      </c>
      <c r="B2396" s="12" t="str">
        <f t="shared" si="200"/>
        <v>Reddit Jumpchain Drive/Completed</v>
      </c>
    </row>
    <row r="2397">
      <c r="A2397" s="12" t="str">
        <f>HYPERLINK("https://drive.google.com/file/d/1ODcdxtSkn0xttADbeGEeP8ylFdosCBkG/view?usp=drivesdk","AC .pdf")</f>
        <v>AC .pdf</v>
      </c>
      <c r="B2397" s="12" t="str">
        <f t="shared" si="200"/>
        <v>Reddit Jumpchain Drive/Completed</v>
      </c>
    </row>
    <row r="2398">
      <c r="A2398" s="12" t="str">
        <f>HYPERLINK("https://drive.google.com/file/d/1Ka_szc9felJNMTEOJ8zO2zL31m_r965c/view?usp=drivesdk","Nobilis.pdf")</f>
        <v>Nobilis.pdf</v>
      </c>
      <c r="B2398" s="12" t="str">
        <f t="shared" si="200"/>
        <v>Reddit Jumpchain Drive/Completed</v>
      </c>
    </row>
    <row r="2399">
      <c r="A2399" s="12" t="str">
        <f>HYPERLINK("https://drive.google.com/file/d/11QoaEjB6ArLWPstwCzn1e4TpW6jqr0S_/view?usp=drivesdk","Friday Night Funkin V1.0.pdf")</f>
        <v>Friday Night Funkin V1.0.pdf</v>
      </c>
      <c r="B2399" s="12" t="str">
        <f t="shared" si="200"/>
        <v>Reddit Jumpchain Drive/Completed</v>
      </c>
    </row>
    <row r="2400">
      <c r="A2400" s="12" t="str">
        <f>HYPERLINK("https://drive.google.com/file/d/1MOf5a-84saPQKnxetem0FX1D7Hm0ghlk/view?usp=drivesdk","DC - Earth 2.pdf")</f>
        <v>DC - Earth 2.pdf</v>
      </c>
      <c r="B2400" s="12" t="str">
        <f t="shared" si="200"/>
        <v>Reddit Jumpchain Drive/Completed</v>
      </c>
    </row>
    <row r="2401">
      <c r="A2401" s="12" t="str">
        <f>HYPERLINK("https://drive.google.com/file/d/1pypx_jhJzUqk4WJYyMDcqOfgz-g-HQvy/view?usp=drivesdk","BATIM Jumpchain.pdf")</f>
        <v>BATIM Jumpchain.pdf</v>
      </c>
      <c r="B2401" s="12" t="str">
        <f t="shared" si="200"/>
        <v>Reddit Jumpchain Drive/Completed</v>
      </c>
    </row>
    <row r="2402">
      <c r="A2402" s="12" t="str">
        <f>HYPERLINK("https://drive.google.com/file/d/1jSZvnbv14jHZdFlSCzuRh_pQuHtOu__i/view?usp=drivesdk","Wander Over Yonder V1.0.pdf")</f>
        <v>Wander Over Yonder V1.0.pdf</v>
      </c>
      <c r="B2402" s="12" t="str">
        <f t="shared" si="200"/>
        <v>Reddit Jumpchain Drive/Completed</v>
      </c>
    </row>
    <row r="2403">
      <c r="A2403" s="12" t="str">
        <f>HYPERLINK("https://drive.google.com/file/d/1uDOEUFS06qjD99fLCOQcmcp1zKGAnd0n/view?usp=drivesdk","Warlock Of The Magus World V2.pdf")</f>
        <v>Warlock Of The Magus World V2.pdf</v>
      </c>
      <c r="B2403" s="12" t="str">
        <f t="shared" si="200"/>
        <v>Reddit Jumpchain Drive/Completed</v>
      </c>
    </row>
    <row r="2404">
      <c r="A2404" s="12" t="str">
        <f>HYPERLINK("https://drive.google.com/file/d/10QfPugUuoxAzXh7IHzjucSkKwm50cuMI/view?usp=drivesdk","Metal Gear Rising_ Revengeance v1.1.pdf")</f>
        <v>Metal Gear Rising_ Revengeance v1.1.pdf</v>
      </c>
      <c r="B2404" s="12" t="str">
        <f t="shared" si="200"/>
        <v>Reddit Jumpchain Drive/Completed</v>
      </c>
    </row>
    <row r="2405">
      <c r="A2405" s="12" t="str">
        <f>HYPERLINK("https://drive.google.com/file/d/1D6RaDFrOuV8cXudYTk1_6GqInwVWqQH0/view?usp=drivesdk","Kane Chronicles Jump-Chain.pdf")</f>
        <v>Kane Chronicles Jump-Chain.pdf</v>
      </c>
      <c r="B2405" s="12" t="str">
        <f t="shared" si="200"/>
        <v>Reddit Jumpchain Drive/Completed</v>
      </c>
    </row>
    <row r="2406">
      <c r="A2406" s="12" t="str">
        <f>HYPERLINK("https://drive.google.com/file/d/1rL_RMkQT8ZSfO89Nl87Ay7wzl_7SQCcQ/view?usp=drivesdk","Alex Verus Jumpchain 1.2.pdf")</f>
        <v>Alex Verus Jumpchain 1.2.pdf</v>
      </c>
      <c r="B2406" s="12" t="str">
        <f t="shared" si="200"/>
        <v>Reddit Jumpchain Drive/Completed</v>
      </c>
    </row>
    <row r="2407">
      <c r="A2407" s="12" t="str">
        <f>HYPERLINK("https://drive.google.com/file/d/1p7uATMYkVyddufphCZ9NSJ370nJftx08/view?usp=drivesdk","Forged Destiny Jumpchain (1).pdf")</f>
        <v>Forged Destiny Jumpchain (1).pdf</v>
      </c>
      <c r="B2407" s="12" t="str">
        <f t="shared" si="200"/>
        <v>Reddit Jumpchain Drive/Completed</v>
      </c>
    </row>
    <row r="2408">
      <c r="A2408" s="12" t="str">
        <f>HYPERLINK("https://drive.google.com/file/d/1EAFCh5Ljz4PWVyOUorDbL86O_7H-8Iju/view?usp=drivesdk","Duck Dodgers Jump V 0.2.pdf")</f>
        <v>Duck Dodgers Jump V 0.2.pdf</v>
      </c>
      <c r="B2408" s="12" t="str">
        <f t="shared" si="200"/>
        <v>Reddit Jumpchain Drive/Completed</v>
      </c>
    </row>
    <row r="2409">
      <c r="A2409" s="12" t="str">
        <f>HYPERLINK("https://drive.google.com/file/d/1hcd2WmIokkjwczyq7CWqnSNJgnAv4BuK/view?usp=drivesdk","Freakazoid.pdf")</f>
        <v>Freakazoid.pdf</v>
      </c>
      <c r="B2409" s="12" t="str">
        <f t="shared" si="200"/>
        <v>Reddit Jumpchain Drive/Completed</v>
      </c>
    </row>
    <row r="2410">
      <c r="A2410" s="12" t="str">
        <f>HYPERLINK("https://drive.google.com/file/d/1gSouoOy5_vlKvTJvv6qoxECGYd2ihAk-/view?usp=drivesdk","Mother of Learning.pdf")</f>
        <v>Mother of Learning.pdf</v>
      </c>
      <c r="B2410" s="12" t="str">
        <f t="shared" si="200"/>
        <v>Reddit Jumpchain Drive/Completed</v>
      </c>
    </row>
    <row r="2411">
      <c r="A2411" s="12" t="str">
        <f>HYPERLINK("https://drive.google.com/file/d/1zERkdUuHlWQ6HGwZVUVe8gI4UvIAvjLC/view?usp=drivesdk","Sunset Riders Jumpchain v.1.pdf")</f>
        <v>Sunset Riders Jumpchain v.1.pdf</v>
      </c>
      <c r="B2411" s="12" t="str">
        <f t="shared" si="200"/>
        <v>Reddit Jumpchain Drive/Completed</v>
      </c>
    </row>
    <row r="2412">
      <c r="A2412" s="12" t="str">
        <f>HYPERLINK("https://drive.google.com/file/d/18sHG7dRJtmYOaZomjo2iGIcAyygHs7RG/view?usp=drivesdk","The Bradwell Conspiracy Jumpchain v.1.pdf")</f>
        <v>The Bradwell Conspiracy Jumpchain v.1.pdf</v>
      </c>
      <c r="B2412" s="12" t="str">
        <f t="shared" si="200"/>
        <v>Reddit Jumpchain Drive/Completed</v>
      </c>
    </row>
    <row r="2413">
      <c r="A2413" s="12" t="str">
        <f>HYPERLINK("https://drive.google.com/file/d/1sn2S13Hpfji0WhHp2G_0rwV-nr7suwrC/view?usp=drivesdk","Toaster Dude v.1.1.pdf")</f>
        <v>Toaster Dude v.1.1.pdf</v>
      </c>
      <c r="B2413" s="12" t="str">
        <f t="shared" si="200"/>
        <v>Reddit Jumpchain Drive/Completed</v>
      </c>
    </row>
    <row r="2414">
      <c r="A2414" s="12" t="str">
        <f>HYPERLINK("https://drive.google.com/file/d/1YdAtxdwZjxBMUtZRvWoEiMQ5IZszY9UE/view?usp=drivesdk","Galaxy Quest Jump – The Reddit Edition V1.0.pdf")</f>
        <v>Galaxy Quest Jump – The Reddit Edition V1.0.pdf</v>
      </c>
      <c r="B2414" s="12" t="str">
        <f t="shared" si="200"/>
        <v>Reddit Jumpchain Drive/Completed</v>
      </c>
    </row>
    <row r="2415">
      <c r="A2415" s="12" t="str">
        <f>HYPERLINK("https://drive.google.com/file/d/1zvAzD9zOgTV2t-D2ko1i6Lu02YB4QbTU/view?usp=drivesdk","Shards Burn Legend, Jumpchain.pdf")</f>
        <v>Shards Burn Legend, Jumpchain.pdf</v>
      </c>
      <c r="B2415" s="12" t="str">
        <f t="shared" si="200"/>
        <v>Reddit Jumpchain Drive/Completed</v>
      </c>
    </row>
    <row r="2416">
      <c r="A2416" s="12" t="str">
        <f>HYPERLINK("https://drive.google.com/file/d/19cvIBQFXeW6wMX3p5R_pSosVkbAlVNN6/view?usp=drivesdk","Rune Factory World Jump V_1.4.docx.pdf")</f>
        <v>Rune Factory World Jump V_1.4.docx.pdf</v>
      </c>
      <c r="B2416" s="12" t="str">
        <f t="shared" si="200"/>
        <v>Reddit Jumpchain Drive/Completed</v>
      </c>
    </row>
    <row r="2417">
      <c r="A2417" s="12" t="str">
        <f>HYPERLINK("https://drive.google.com/file/d/1EzeO2mGkuE28M--brMi1XAyLWm9frX0W/view?usp=drivesdk","Shaun Of The Dead Jump – The Reddit Edition V1.0.pdf")</f>
        <v>Shaun Of The Dead Jump – The Reddit Edition V1.0.pdf</v>
      </c>
      <c r="B2417" s="12" t="str">
        <f t="shared" si="200"/>
        <v>Reddit Jumpchain Drive/Completed</v>
      </c>
    </row>
    <row r="2418">
      <c r="A2418" s="12" t="str">
        <f>HYPERLINK("https://drive.google.com/file/d/14tJu6goqtOFCrpl186NPfSUdI9j_Ofoc/view?usp=drivesdk","Kipo and the Age of the Wonderbeasts Jumpchain.pdf")</f>
        <v>Kipo and the Age of the Wonderbeasts Jumpchain.pdf</v>
      </c>
      <c r="B2418" s="12" t="str">
        <f t="shared" si="200"/>
        <v>Reddit Jumpchain Drive/Completed</v>
      </c>
    </row>
    <row r="2419">
      <c r="A2419" s="12" t="str">
        <f>HYPERLINK("https://drive.google.com/file/d/1WGmcv1GXUAGIIPplIBXxd3sX3Qvg2VDo/view?usp=drivesdk","X3 Albion Prelude Jump v1.0.pdf")</f>
        <v>X3 Albion Prelude Jump v1.0.pdf</v>
      </c>
      <c r="B2419" s="12" t="str">
        <f t="shared" si="200"/>
        <v>Reddit Jumpchain Drive/Completed</v>
      </c>
    </row>
    <row r="2420">
      <c r="A2420" s="12" t="str">
        <f>HYPERLINK("https://drive.google.com/file/d/1XlD12U-FOAfyJ54uWe_M3r7l3imHeIQZ/view?usp=drivesdk","CYOA Jumpchain - Rudazov_s Metauniverse.pdf")</f>
        <v>CYOA Jumpchain - Rudazov_s Metauniverse.pdf</v>
      </c>
      <c r="B2420" s="12" t="str">
        <f t="shared" si="200"/>
        <v>Reddit Jumpchain Drive/Completed</v>
      </c>
    </row>
    <row r="2421">
      <c r="A2421" s="12" t="str">
        <f>HYPERLINK("https://drive.google.com/file/d/18zlMZ4zCC7Q6xyjT9fn1iTRhXe2SzJ1l/view?usp=drivesdk","Schooled in Magic Jumpchain.pdf")</f>
        <v>Schooled in Magic Jumpchain.pdf</v>
      </c>
      <c r="B2421" s="12" t="str">
        <f t="shared" si="200"/>
        <v>Reddit Jumpchain Drive/Completed</v>
      </c>
    </row>
    <row r="2422">
      <c r="A2422" s="12" t="str">
        <f>HYPERLINK("https://drive.google.com/file/d/10rHHh8VTo5qNvo07V8-jRdvH7qbBLs6u/view?usp=drivesdk","InFamous Game Series V1.0.pdf")</f>
        <v>InFamous Game Series V1.0.pdf</v>
      </c>
      <c r="B2422" s="12" t="str">
        <f t="shared" si="200"/>
        <v>Reddit Jumpchain Drive/Completed</v>
      </c>
    </row>
    <row r="2423">
      <c r="A2423" s="12" t="str">
        <f>HYPERLINK("https://drive.google.com/file/d/1Haf1t9XnIvogeIUBayyvaf3YG5d-pjWH/view?usp=drivesdk","Uplift Protocol-Jumpchain.pdf")</f>
        <v>Uplift Protocol-Jumpchain.pdf</v>
      </c>
      <c r="B2423" s="12" t="str">
        <f t="shared" si="200"/>
        <v>Reddit Jumpchain Drive/Completed</v>
      </c>
    </row>
    <row r="2424">
      <c r="A2424" s="12" t="str">
        <f>HYPERLINK("https://drive.google.com/file/d/1AAmKmqSbndaUJQ8LzH_NHxwSpBsIkeyE/view?usp=drivesdk","Fairy_Fencer_F_Jumpdoc_1.pdf")</f>
        <v>Fairy_Fencer_F_Jumpdoc_1.pdf</v>
      </c>
      <c r="B2424" s="12" t="str">
        <f t="shared" si="200"/>
        <v>Reddit Jumpchain Drive/Completed</v>
      </c>
    </row>
    <row r="2425">
      <c r="A2425" s="12" t="str">
        <f>HYPERLINK("https://drive.google.com/file/d/1IA_k_LxFo7JtEPMB2oiEBqNwS9Ev5Dp_/view?usp=drivesdk","Dungeon ni Deai o Motomeru no wa Machigatte Iru Darou ka v0.3.pdf")</f>
        <v>Dungeon ni Deai o Motomeru no wa Machigatte Iru Darou ka v0.3.pdf</v>
      </c>
      <c r="B2425" s="12" t="str">
        <f t="shared" si="200"/>
        <v>Reddit Jumpchain Drive/Completed</v>
      </c>
    </row>
    <row r="2426">
      <c r="A2426" s="12" t="str">
        <f>HYPERLINK("https://drive.google.com/file/d/1eM4nzNozBhVaGDm0N4brkC79OaYP6pcA/view?usp=drivesdk","Tetsuwan Birdy v2.0.1 Imaged.pdf")</f>
        <v>Tetsuwan Birdy v2.0.1 Imaged.pdf</v>
      </c>
      <c r="B2426" s="12" t="str">
        <f t="shared" si="200"/>
        <v>Reddit Jumpchain Drive/Completed</v>
      </c>
    </row>
    <row r="2427">
      <c r="A2427" s="12" t="str">
        <f>HYPERLINK("https://drive.google.com/file/d/1Pn86jN_yRHOhm0fnemqV7oWUvJNqWTIP/view?usp=drivesdk","Metal Arms_ Glitch In the System jump.pdf")</f>
        <v>Metal Arms_ Glitch In the System jump.pdf</v>
      </c>
      <c r="B2427" s="12" t="str">
        <f t="shared" si="200"/>
        <v>Reddit Jumpchain Drive/Completed</v>
      </c>
    </row>
    <row r="2428">
      <c r="A2428" s="12" t="str">
        <f>HYPERLINK("https://drive.google.com/file/d/1riXR4ir3y3CIsHjYIESV1oiniTVTV4xU/view?usp=drivesdk","Fallout Tactics_ Brotherhood of Steel Jump.pdf")</f>
        <v>Fallout Tactics_ Brotherhood of Steel Jump.pdf</v>
      </c>
      <c r="B2428" s="12" t="str">
        <f t="shared" si="200"/>
        <v>Reddit Jumpchain Drive/Completed</v>
      </c>
    </row>
    <row r="2429">
      <c r="A2429" s="12" t="str">
        <f>HYPERLINK("https://drive.google.com/file/d/1ZcydgCpEpP6RhsUdmOVAEQVh18CKwwDW/view?usp=drivesdk","Bully_ Canis Canem Edit jump.pdf")</f>
        <v>Bully_ Canis Canem Edit jump.pdf</v>
      </c>
      <c r="B2429" s="12" t="str">
        <f t="shared" si="200"/>
        <v>Reddit Jumpchain Drive/Completed</v>
      </c>
    </row>
    <row r="2430">
      <c r="A2430" s="12" t="str">
        <f>HYPERLINK("https://drive.google.com/file/d/1MmA_Dy2UVkVeIGxzL_2B0viMj_zmzxfI/view?usp=drivesdk","WoD Sorcerer Jumpchain 2.1.pdf")</f>
        <v>WoD Sorcerer Jumpchain 2.1.pdf</v>
      </c>
      <c r="B2430" s="12" t="str">
        <f t="shared" si="200"/>
        <v>Reddit Jumpchain Drive/Completed</v>
      </c>
    </row>
    <row r="2431">
      <c r="A2431" s="12" t="str">
        <f>HYPERLINK("https://drive.google.com/file/d/1p2bvyNmHVFhZWVfQyeebYEyQ9bVWzkBk/view?usp=drivesdk","MTG_ Amonkhet Jumpchain 1.3 (1).pdf")</f>
        <v>MTG_ Amonkhet Jumpchain 1.3 (1).pdf</v>
      </c>
      <c r="B2431" s="12" t="str">
        <f t="shared" si="200"/>
        <v>Reddit Jumpchain Drive/Completed</v>
      </c>
    </row>
    <row r="2432">
      <c r="A2432" s="12" t="str">
        <f>HYPERLINK("https://drive.google.com/file/d/1TzGpHgS0GPyWNJu4rDjUHZaV2ijV_cAt/view?usp=drivesdk","Terraria - Journey_s End Jumpchain.pdf")</f>
        <v>Terraria - Journey_s End Jumpchain.pdf</v>
      </c>
      <c r="B2432" s="12" t="str">
        <f t="shared" si="200"/>
        <v>Reddit Jumpchain Drive/Completed</v>
      </c>
    </row>
    <row r="2433">
      <c r="A2433" s="12" t="str">
        <f>HYPERLINK("https://drive.google.com/file/d/1JOuWQpifNf0ViztaYYR5O8QLcJPX12E7/view?usp=drivesdk","The Sims 3 Jumpchain_ Reddit Version v1.2.pdf")</f>
        <v>The Sims 3 Jumpchain_ Reddit Version v1.2.pdf</v>
      </c>
      <c r="B2433" s="12" t="str">
        <f t="shared" si="200"/>
        <v>Reddit Jumpchain Drive/Completed</v>
      </c>
    </row>
    <row r="2434">
      <c r="A2434" s="12" t="str">
        <f>HYPERLINK("https://drive.google.com/file/d/1b82w5kN1GmDkqPO1ryqw6c1OaErw-ufd/view?usp=drivesdk","Stormlight Archive Jumpchain v2.0.pdf")</f>
        <v>Stormlight Archive Jumpchain v2.0.pdf</v>
      </c>
      <c r="B2434" s="12" t="str">
        <f t="shared" si="200"/>
        <v>Reddit Jumpchain Drive/Completed</v>
      </c>
    </row>
    <row r="2435">
      <c r="A2435" s="12" t="str">
        <f>HYPERLINK("https://drive.google.com/file/d/1xRWM3i-JFW_DOlKFe2TJiHraAMq2fLkw/view?usp=drivesdk","Saint Seiya Lost Canvas v1.1.pdf")</f>
        <v>Saint Seiya Lost Canvas v1.1.pdf</v>
      </c>
      <c r="B2435" s="12" t="str">
        <f t="shared" si="200"/>
        <v>Reddit Jumpchain Drive/Completed</v>
      </c>
    </row>
    <row r="2436">
      <c r="A2436" s="12" t="str">
        <f>HYPERLINK("https://drive.google.com/file/d/1Oec6IE8SiMxpomp9-U5oHji_A5BikC9N/view?usp=drivesdk","The Citadel Jumpchain.pdf")</f>
        <v>The Citadel Jumpchain.pdf</v>
      </c>
      <c r="B2436" s="12" t="str">
        <f t="shared" si="200"/>
        <v>Reddit Jumpchain Drive/Completed</v>
      </c>
    </row>
    <row r="2437">
      <c r="A2437" s="12" t="str">
        <f>HYPERLINK("https://drive.google.com/file/d/1yE7mt4fWh2MgIgILHCx9fT0zIEF6UtFA/view?usp=drivesdk","Destiny 2 JumpChain Version 6.pdf")</f>
        <v>Destiny 2 JumpChain Version 6.pdf</v>
      </c>
      <c r="B2437" s="12" t="str">
        <f t="shared" si="200"/>
        <v>Reddit Jumpchain Drive/Completed</v>
      </c>
    </row>
    <row r="2438">
      <c r="A2438" s="12" t="str">
        <f>HYPERLINK("https://drive.google.com/file/d/16gUMGq8uJ8MEB8EWepxRF4q-NXiIPzjS/view?usp=drivesdk","Chaotic 1.0.pdf")</f>
        <v>Chaotic 1.0.pdf</v>
      </c>
      <c r="B2438" s="12" t="str">
        <f t="shared" si="200"/>
        <v>Reddit Jumpchain Drive/Completed</v>
      </c>
    </row>
    <row r="2439">
      <c r="A2439" s="12" t="str">
        <f>HYPERLINK("https://drive.google.com/file/d/1-GytpAgPZ1c1jneD26jdTQwWuUe44JZB/view?usp=drivesdk","Darkspore Jump.pdf")</f>
        <v>Darkspore Jump.pdf</v>
      </c>
      <c r="B2439" s="12" t="str">
        <f t="shared" si="200"/>
        <v>Reddit Jumpchain Drive/Completed</v>
      </c>
    </row>
    <row r="2440">
      <c r="A2440" s="12" t="str">
        <f>HYPERLINK("https://drive.google.com/file/d/1GWTVa4N4nxCPhOp5E9QRehSsfakhOGQO/view?usp=drivesdk","Jumpdoc of Nomaad_ Tale of the Doombringer.pdf")</f>
        <v>Jumpdoc of Nomaad_ Tale of the Doombringer.pdf</v>
      </c>
      <c r="B2440" s="12" t="str">
        <f t="shared" si="200"/>
        <v>Reddit Jumpchain Drive/Completed</v>
      </c>
    </row>
    <row r="2441">
      <c r="A2441" s="12" t="str">
        <f>HYPERLINK("https://drive.google.com/file/d/1zTUw8pI0vCVIFh9s3MP8NepZjQZobO47/view?usp=drivesdk","The Mask.pdf")</f>
        <v>The Mask.pdf</v>
      </c>
      <c r="B2441" s="12" t="str">
        <f t="shared" si="200"/>
        <v>Reddit Jumpchain Drive/Completed</v>
      </c>
    </row>
    <row r="2442">
      <c r="A2442" s="12" t="str">
        <f>HYPERLINK("https://drive.google.com/file/d/1EIZMz8MnTV6cGkUswxX2vbRZ6c7amZUZ/view?usp=drivesdk","13 Trilogy.pdf")</f>
        <v>13 Trilogy.pdf</v>
      </c>
      <c r="B2442" s="12" t="str">
        <f t="shared" si="200"/>
        <v>Reddit Jumpchain Drive/Completed</v>
      </c>
    </row>
    <row r="2443">
      <c r="A2443" s="12" t="str">
        <f>HYPERLINK("https://drive.google.com/file/d/1OHq4MPrUmLPWso6jBdhI4eFAaCaMyHhZ/view?usp=drivesdk","Terror Infinity Jumpchain.pdf")</f>
        <v>Terror Infinity Jumpchain.pdf</v>
      </c>
      <c r="B2443" s="12" t="str">
        <f t="shared" si="200"/>
        <v>Reddit Jumpchain Drive/Completed</v>
      </c>
    </row>
    <row r="2444">
      <c r="A2444" s="12" t="str">
        <f>HYPERLINK("https://drive.google.com/file/d/1ajQSFnqQFFR1ETj0qR1PdVwlLL-MmGXz/view?usp=drivesdk","Make A Wish.pdf")</f>
        <v>Make A Wish.pdf</v>
      </c>
      <c r="B2444" s="12" t="str">
        <f t="shared" si="200"/>
        <v>Reddit Jumpchain Drive/Completed</v>
      </c>
    </row>
    <row r="2445">
      <c r="A2445" s="12" t="str">
        <f>HYPERLINK("https://drive.google.com/file/d/1dHF9ZMwcAUs11pq9xd19PNORUtsbfEdN/view?usp=drivesdk","Scapegoat  V 1.0 by Cross_Thanatos.pdf")</f>
        <v>Scapegoat  V 1.0 by Cross_Thanatos.pdf</v>
      </c>
      <c r="B2445" s="12" t="str">
        <f t="shared" si="200"/>
        <v>Reddit Jumpchain Drive/Completed</v>
      </c>
    </row>
    <row r="2446">
      <c r="A2446" s="12" t="str">
        <f>HYPERLINK("https://drive.google.com/file/d/1aMn9quU3x3XY_coTnH1uALj2y1kF3lNh/view?usp=drivesdk","Age of Adepts Jump 1!2.pdf")</f>
        <v>Age of Adepts Jump 1!2.pdf</v>
      </c>
      <c r="B2446" s="12" t="str">
        <f t="shared" si="200"/>
        <v>Reddit Jumpchain Drive/Completed</v>
      </c>
    </row>
    <row r="2447">
      <c r="A2447" s="12" t="str">
        <f>HYPERLINK("https://drive.google.com/file/d/1DsLq5LtCNzekDEOzHzsVMiiNCJn4fzqO/view?usp=drivesdk","Chivalry of a failed knight.pdf")</f>
        <v>Chivalry of a failed knight.pdf</v>
      </c>
      <c r="B2447" s="12" t="str">
        <f t="shared" si="200"/>
        <v>Reddit Jumpchain Drive/Completed</v>
      </c>
    </row>
    <row r="2448">
      <c r="A2448" s="12" t="str">
        <f>HYPERLINK("https://drive.google.com/file/d/13SLTcZBNVAx0sz_AYTbdEhTv0lDcHnVP/view?usp=drivesdk","Keys of the Kingdom Jumpchain By Heavenicarus (1.0).pdf")</f>
        <v>Keys of the Kingdom Jumpchain By Heavenicarus (1.0).pdf</v>
      </c>
      <c r="B2448" s="12" t="str">
        <f t="shared" si="200"/>
        <v>Reddit Jumpchain Drive/Completed</v>
      </c>
    </row>
    <row r="2449">
      <c r="A2449" s="12" t="str">
        <f>HYPERLINK("https://drive.google.com/file/d/1G1ROAn_8Nsn_7JwXYKncLOWkxoFyVRYJ/view?usp=drivesdk","CrossCode Jumpchain.pdf")</f>
        <v>CrossCode Jumpchain.pdf</v>
      </c>
      <c r="B2449" s="12" t="str">
        <f t="shared" si="200"/>
        <v>Reddit Jumpchain Drive/Completed</v>
      </c>
    </row>
    <row r="2450">
      <c r="A2450" s="12" t="str">
        <f>HYPERLINK("https://drive.google.com/file/d/1w-4_F6-XVTNL0RELJk4FJnALTQfH7FZd/view?usp=drivesdk","Lisa The Chainful.pdf")</f>
        <v>Lisa The Chainful.pdf</v>
      </c>
      <c r="B2450" s="12" t="str">
        <f t="shared" si="200"/>
        <v>Reddit Jumpchain Drive/Completed</v>
      </c>
    </row>
    <row r="2451">
      <c r="A2451" s="12" t="str">
        <f>HYPERLINK("https://drive.google.com/file/d/1t-4Z57e1aXdlZS3lmlL1RTxR1v3E7Ye9/view?usp=drivesdk","Star Trek Discovery Jump - The Reddit Edition V1.0.pdf")</f>
        <v>Star Trek Discovery Jump - The Reddit Edition V1.0.pdf</v>
      </c>
      <c r="B2451" s="12" t="str">
        <f t="shared" si="200"/>
        <v>Reddit Jumpchain Drive/Completed</v>
      </c>
    </row>
    <row r="2452">
      <c r="A2452" s="12" t="str">
        <f>HYPERLINK("https://drive.google.com/file/d/18Rfg2f0h-8vdMUk0lbQbytxy2LG0VC2o/view?usp=drivesdk","StarCraft- The Terran Jumpchain.pdf")</f>
        <v>StarCraft- The Terran Jumpchain.pdf</v>
      </c>
      <c r="B2452" s="12" t="str">
        <f t="shared" si="200"/>
        <v>Reddit Jumpchain Drive/Completed</v>
      </c>
    </row>
    <row r="2453">
      <c r="A2453" s="12" t="str">
        <f>HYPERLINK("https://drive.google.com/file/d/1KcaGOb_l1C2krDsAwFnZ1wcIz5w-AIVi/view?usp=drivesdk","Sholan Alliance JumpDoc.pdf")</f>
        <v>Sholan Alliance JumpDoc.pdf</v>
      </c>
      <c r="B2453" s="12" t="str">
        <f t="shared" si="200"/>
        <v>Reddit Jumpchain Drive/Completed</v>
      </c>
    </row>
    <row r="2454">
      <c r="A2454" s="12" t="str">
        <f>HYPERLINK("https://drive.google.com/file/d/19gMxAKhnBYF9NMP8_-I92x5uAlTrq9p1/view?usp=drivesdk","The Neverending Story jump 1.2.pdf")</f>
        <v>The Neverending Story jump 1.2.pdf</v>
      </c>
      <c r="B2454" s="12" t="str">
        <f t="shared" si="200"/>
        <v>Reddit Jumpchain Drive/Completed</v>
      </c>
    </row>
    <row r="2455">
      <c r="A2455" s="12" t="str">
        <f>HYPERLINK("https://drive.google.com/file/d/1iewuZIZlv9nGwdpYLp1SciXB5lQ0PHvu/view?usp=drivesdk","Sonny Jumpchain.pdf")</f>
        <v>Sonny Jumpchain.pdf</v>
      </c>
      <c r="B2455" s="12" t="str">
        <f t="shared" si="200"/>
        <v>Reddit Jumpchain Drive/Completed</v>
      </c>
    </row>
    <row r="2456">
      <c r="A2456" s="12" t="str">
        <f>HYPERLINK("https://drive.google.com/file/d/1R8rrskzRDsZU0vgpWg6tK1--CuKyf5bN/view?usp=drivesdk","Tom and Jerry and the Magic Ring Jumpchain.pdf")</f>
        <v>Tom and Jerry and the Magic Ring Jumpchain.pdf</v>
      </c>
      <c r="B2456" s="12" t="str">
        <f t="shared" si="200"/>
        <v>Reddit Jumpchain Drive/Completed</v>
      </c>
    </row>
    <row r="2457">
      <c r="A2457" s="12" t="str">
        <f>HYPERLINK("https://drive.google.com/file/d/1yCwRHyV8I-0z4_KRYiBgJ9hclnjhiQu4/view?usp=drivesdk","Surviving Mars Jumpchain v1.0.pdf")</f>
        <v>Surviving Mars Jumpchain v1.0.pdf</v>
      </c>
      <c r="B2457" s="12" t="str">
        <f t="shared" si="200"/>
        <v>Reddit Jumpchain Drive/Completed</v>
      </c>
    </row>
    <row r="2458">
      <c r="A2458" s="12" t="str">
        <f>HYPERLINK("https://drive.google.com/file/d/1nSmNj6xmD7mv0oh_RZU5Vg8rILLBdyGb/view?usp=drivesdk","Masters of the Universe Jumpchain.pdf")</f>
        <v>Masters of the Universe Jumpchain.pdf</v>
      </c>
      <c r="B2458" s="12" t="str">
        <f t="shared" si="200"/>
        <v>Reddit Jumpchain Drive/Completed</v>
      </c>
    </row>
    <row r="2459">
      <c r="A2459" s="12" t="str">
        <f>HYPERLINK("https://drive.google.com/file/d/1NiO7IP6QdMFq-kvdT4nz-Q0N6rZqXAIU/view?usp=drivesdk","Wizard of Legend.pdf")</f>
        <v>Wizard of Legend.pdf</v>
      </c>
      <c r="B2459" s="12" t="str">
        <f t="shared" si="200"/>
        <v>Reddit Jumpchain Drive/Completed</v>
      </c>
    </row>
    <row r="2460">
      <c r="A2460" s="12" t="str">
        <f>HYPERLINK("https://drive.google.com/file/d/1IWxhf9U9ghj5YnLqHRjzAnjtaUp6OpiL/view?usp=drivesdk","Road to Stardom.pdf")</f>
        <v>Road to Stardom.pdf</v>
      </c>
      <c r="B2460" s="12" t="str">
        <f t="shared" si="200"/>
        <v>Reddit Jumpchain Drive/Completed</v>
      </c>
    </row>
    <row r="2461">
      <c r="A2461" s="12" t="str">
        <f>HYPERLINK("https://drive.google.com/file/d/1dsVJhNAJqcqFu_qQ_SkMCIkJ3BGsD4ro/view?usp=drivesdk","Middle-Earth Shadow Of War Jump - The Reddit Edition V1.0.pdf")</f>
        <v>Middle-Earth Shadow Of War Jump - The Reddit Edition V1.0.pdf</v>
      </c>
      <c r="B2461" s="12" t="str">
        <f t="shared" si="200"/>
        <v>Reddit Jumpchain Drive/Completed</v>
      </c>
    </row>
    <row r="2462">
      <c r="A2462" s="12" t="str">
        <f>HYPERLINK("https://drive.google.com/file/d/1mG3yLXM6SLay8ccZWb2G3DQs4y5lZpDZ/view?usp=drivesdk","Rise of the Guardians doc v2.0.pdf")</f>
        <v>Rise of the Guardians doc v2.0.pdf</v>
      </c>
      <c r="B2462" s="12" t="str">
        <f t="shared" si="200"/>
        <v>Reddit Jumpchain Drive/Completed</v>
      </c>
    </row>
    <row r="2463">
      <c r="A2463" s="12" t="str">
        <f>HYPERLINK("https://drive.google.com/file/d/1HvgTWxJ3An9bKG-9rhNng3OKztuxr4UH/view?usp=drivesdk","Warhammer 40k_ The Warp.pdf")</f>
        <v>Warhammer 40k_ The Warp.pdf</v>
      </c>
      <c r="B2463" s="12" t="str">
        <f t="shared" si="200"/>
        <v>Reddit Jumpchain Drive/Completed</v>
      </c>
    </row>
    <row r="2464">
      <c r="A2464" s="12" t="str">
        <f>HYPERLINK("https://drive.google.com/file/d/1P6GLreZQL8KlHmMocL_4m1R5CCU8c-2-/view?usp=drivesdk","Mobius Final Fantasy Jumpchain 2.0.pdf")</f>
        <v>Mobius Final Fantasy Jumpchain 2.0.pdf</v>
      </c>
      <c r="B2464" s="12" t="str">
        <f t="shared" si="200"/>
        <v>Reddit Jumpchain Drive/Completed</v>
      </c>
    </row>
    <row r="2465">
      <c r="A2465" s="12" t="str">
        <f>HYPERLINK("https://drive.google.com/file/d/1ZCuBKPzu2kgMyzUuJjfTusLbzF2z2N8I/view?usp=drivesdk","Hardcore Mecha 1.1.pdf")</f>
        <v>Hardcore Mecha 1.1.pdf</v>
      </c>
      <c r="B2465" s="12" t="str">
        <f t="shared" si="200"/>
        <v>Reddit Jumpchain Drive/Completed</v>
      </c>
    </row>
    <row r="2466">
      <c r="A2466" s="12" t="str">
        <f>HYPERLINK("https://drive.google.com/file/d/1dXXcFK1eDO9NiOLCQdOdfGcp_cnD04EJ/view?usp=drivesdk","The Night of the Rabbit Jump.pdf")</f>
        <v>The Night of the Rabbit Jump.pdf</v>
      </c>
      <c r="B2466" s="12" t="str">
        <f t="shared" si="200"/>
        <v>Reddit Jumpchain Drive/Completed</v>
      </c>
    </row>
    <row r="2467">
      <c r="A2467" s="12" t="str">
        <f>HYPERLINK("https://drive.google.com/file/d/13eXityK3HixR-O5Jz7Mea3tgY69YBklc/view?usp=drivesdk","Peter Nimble and his Fantastic Eyes_ Jumpchain.pdf")</f>
        <v>Peter Nimble and his Fantastic Eyes_ Jumpchain.pdf</v>
      </c>
      <c r="B2467" s="12" t="str">
        <f t="shared" si="200"/>
        <v>Reddit Jumpchain Drive/Completed</v>
      </c>
    </row>
    <row r="2468">
      <c r="A2468" s="12" t="str">
        <f>HYPERLINK("https://drive.google.com/file/d/1vbSCDQTn4bKStVyhUFzftgJHZo9fAuQi/view?usp=drivesdk","Sophie Quire and the Last Storyguard_ Jumpchain.pdf")</f>
        <v>Sophie Quire and the Last Storyguard_ Jumpchain.pdf</v>
      </c>
      <c r="B2468" s="12" t="str">
        <f t="shared" si="200"/>
        <v>Reddit Jumpchain Drive/Completed</v>
      </c>
    </row>
    <row r="2469">
      <c r="A2469" s="12" t="str">
        <f>HYPERLINK("https://drive.google.com/file/d/1MObYuYiY6IOFKLc08LGyKYAmi6k99f11/view?usp=drivesdk","Hades Jumpchain v2.0.pdf")</f>
        <v>Hades Jumpchain v2.0.pdf</v>
      </c>
      <c r="B2469" s="12" t="str">
        <f t="shared" si="200"/>
        <v>Reddit Jumpchain Drive/Completed</v>
      </c>
    </row>
    <row r="2470">
      <c r="A2470" s="12" t="str">
        <f>HYPERLINK("https://drive.google.com/file/d/1alqROTF7jdxHteRT0vUT76kLlnRkHILF/view?usp=drivesdk","Hazbin Hotel 1.0.pdf")</f>
        <v>Hazbin Hotel 1.0.pdf</v>
      </c>
      <c r="B2470" s="12" t="str">
        <f t="shared" si="200"/>
        <v>Reddit Jumpchain Drive/Completed</v>
      </c>
    </row>
    <row r="2471">
      <c r="A2471" s="12" t="str">
        <f>HYPERLINK("https://drive.google.com/file/d/1fTX2ZpmNK36cVj5VHRJjRRrgezXYYR48/view?usp=drivesdk","Hacknet 1.0.pdf")</f>
        <v>Hacknet 1.0.pdf</v>
      </c>
      <c r="B2471" s="12" t="str">
        <f t="shared" si="200"/>
        <v>Reddit Jumpchain Drive/Completed</v>
      </c>
    </row>
    <row r="2472">
      <c r="A2472" s="12" t="str">
        <f>HYPERLINK("https://drive.google.com/file/d/1WHck8YLlRHJtHXMsn83Kw_PyieH2n8m0/view?usp=drivesdk","Greek Mythology [Reddit] 1.2.pdf")</f>
        <v>Greek Mythology [Reddit] 1.2.pdf</v>
      </c>
      <c r="B2472" s="12" t="str">
        <f t="shared" si="200"/>
        <v>Reddit Jumpchain Drive/Completed</v>
      </c>
    </row>
    <row r="2473">
      <c r="A2473" s="12" t="str">
        <f>HYPERLINK("https://drive.google.com/file/d/1oGtacMsoaGQ14KZjEEZNBzLZGjMu0VGR/view?usp=drivesdk","God hand SBReddit v1.25.pdf")</f>
        <v>God hand SBReddit v1.25.pdf</v>
      </c>
      <c r="B2473" s="12" t="str">
        <f t="shared" si="200"/>
        <v>Reddit Jumpchain Drive/Completed</v>
      </c>
    </row>
    <row r="2474">
      <c r="A2474" s="12" t="str">
        <f>HYPERLINK("https://drive.google.com/file/d/1nKgkaDnsexwbQo4mkfyDizNA_NH8gVF3/view?usp=drivesdk","Katamari Damacy jump v1.0.pdf")</f>
        <v>Katamari Damacy jump v1.0.pdf</v>
      </c>
      <c r="B2474" s="12" t="str">
        <f t="shared" si="200"/>
        <v>Reddit Jumpchain Drive/Completed</v>
      </c>
    </row>
    <row r="2475">
      <c r="A2475" s="12" t="str">
        <f>HYPERLINK("https://drive.google.com/file/d/19s_jURXMZ9mS10Tp5oPnoswllAv-_nDk/view?usp=drivesdk","The Darkness.pdf")</f>
        <v>The Darkness.pdf</v>
      </c>
      <c r="B2475" s="12" t="str">
        <f t="shared" si="200"/>
        <v>Reddit Jumpchain Drive/Completed</v>
      </c>
    </row>
    <row r="2476">
      <c r="A2476" s="12" t="str">
        <f>HYPERLINK("https://drive.google.com/file/d/1vInjn060PjlSEv_hCwfWiUyN1zndEI76/view?usp=drivesdk","The Escapists Jump V1.0 – The Reddit Edition.pdf")</f>
        <v>The Escapists Jump V1.0 – The Reddit Edition.pdf</v>
      </c>
      <c r="B2476" s="12" t="str">
        <f t="shared" si="200"/>
        <v>Reddit Jumpchain Drive/Completed</v>
      </c>
    </row>
    <row r="2477">
      <c r="A2477" s="12" t="str">
        <f>HYPERLINK("https://drive.google.com/file/d/1_EONhzGJ1PGefcwn_-1gXYHhCUNW-gCO/view?usp=drivesdk","Ape Escape 3 Jumpchain.pdf")</f>
        <v>Ape Escape 3 Jumpchain.pdf</v>
      </c>
      <c r="B2477" s="12" t="str">
        <f t="shared" si="200"/>
        <v>Reddit Jumpchain Drive/Completed</v>
      </c>
    </row>
    <row r="2478">
      <c r="A2478" s="12" t="str">
        <f>HYPERLINK("https://drive.google.com/file/d/1pppwcvveeYvv15Ols0iiRPUFKgMI1BOb/view?usp=drivesdk","The Guy Who Didn_t Like Musicals (plus Black Friday) jump v1.1.pdf")</f>
        <v>The Guy Who Didn_t Like Musicals (plus Black Friday) jump v1.1.pdf</v>
      </c>
      <c r="B2478" s="12" t="str">
        <f t="shared" si="200"/>
        <v>Reddit Jumpchain Drive/Completed</v>
      </c>
    </row>
    <row r="2479">
      <c r="A2479" s="12" t="str">
        <f>HYPERLINK("https://drive.google.com/file/d/1HZinNHdXudaqjesQG0pYeJT36jaDzGWG/view?usp=drivesdk","Helldivers Jump 1.2 - Enemies of Man Expansion.pdf")</f>
        <v>Helldivers Jump 1.2 - Enemies of Man Expansion.pdf</v>
      </c>
      <c r="B2479" s="12" t="str">
        <f t="shared" si="200"/>
        <v>Reddit Jumpchain Drive/Completed</v>
      </c>
    </row>
    <row r="2480">
      <c r="A2480" s="12" t="str">
        <f>HYPERLINK("https://drive.google.com/file/d/1w4UDvCxahQjboRD8iF7q8xL1CfOV7_Vr/view?usp=drivesdk","AI War 2 _ Fleet Command Jumpchain.pdf")</f>
        <v>AI War 2 _ Fleet Command Jumpchain.pdf</v>
      </c>
      <c r="B2480" s="12" t="str">
        <f t="shared" si="200"/>
        <v>Reddit Jumpchain Drive/Completed</v>
      </c>
    </row>
    <row r="2481">
      <c r="A2481" s="12" t="str">
        <f>HYPERLINK("https://drive.google.com/file/d/1tpy1Uk7EcPq3JmtT4zGSu3jLhAS5KFf-/view?usp=drivesdk","Arrowverse Jumpchain_.pdf")</f>
        <v>Arrowverse Jumpchain_.pdf</v>
      </c>
      <c r="B2481" s="12" t="str">
        <f t="shared" si="200"/>
        <v>Reddit Jumpchain Drive/Completed</v>
      </c>
    </row>
    <row r="2482">
      <c r="A2482" s="12" t="str">
        <f>HYPERLINK("https://drive.google.com/file/d/1MbHEnG1Fao2nF8M3ni5GZayBqlKd6XwS/view?usp=drivesdk","Invincible Jump CYOA.pdf")</f>
        <v>Invincible Jump CYOA.pdf</v>
      </c>
      <c r="B2482" s="12" t="str">
        <f t="shared" si="200"/>
        <v>Reddit Jumpchain Drive/Completed</v>
      </c>
    </row>
    <row r="2483">
      <c r="A2483" s="12" t="str">
        <f>HYPERLINK("https://drive.google.com/file/d/15sNl101LkQ0GiO8y4C6X-KXULqP2T8MN/view?usp=drivesdk","Muse Dash v1.0.pdf")</f>
        <v>Muse Dash v1.0.pdf</v>
      </c>
      <c r="B2483" s="12" t="str">
        <f t="shared" si="200"/>
        <v>Reddit Jumpchain Drive/Completed</v>
      </c>
    </row>
    <row r="2484">
      <c r="A2484" s="12" t="str">
        <f>HYPERLINK("https://drive.google.com/file/d/1NHsGkDqgIkdlM-kClcDsyjAaILnheeSq/view?usp=drivesdk","Singularity Jump V1.0 - The Reddit Edition.pdf")</f>
        <v>Singularity Jump V1.0 - The Reddit Edition.pdf</v>
      </c>
      <c r="B2484" s="12" t="str">
        <f t="shared" si="200"/>
        <v>Reddit Jumpchain Drive/Completed</v>
      </c>
    </row>
    <row r="2485">
      <c r="A2485" s="12" t="str">
        <f>HYPERLINK("https://drive.google.com/file/d/1ygjT4gJQYLnAeEftAje6MVb-txE54CFI/view?usp=drivesdk","Twokinds Jumpchain  V1.1.pdf")</f>
        <v>Twokinds Jumpchain  V1.1.pdf</v>
      </c>
      <c r="B2485" s="12" t="str">
        <f t="shared" si="200"/>
        <v>Reddit Jumpchain Drive/Completed</v>
      </c>
    </row>
    <row r="2486">
      <c r="A2486" s="12" t="str">
        <f>HYPERLINK("https://drive.google.com/file/d/1xae9sxCD2EyhvxhfWNSImTPm5NtCTRJr/view?usp=drivesdk","John Wick.pdf")</f>
        <v>John Wick.pdf</v>
      </c>
      <c r="B2486" s="12" t="str">
        <f t="shared" si="200"/>
        <v>Reddit Jumpchain Drive/Completed</v>
      </c>
    </row>
    <row r="2487">
      <c r="A2487" s="12" t="str">
        <f>HYPERLINK("https://drive.google.com/file/d/1l0a2MEvYu-gXQ_maf-PBEErZwwLMxKba/view?usp=drivesdk","Dead Space - Necromorphs Jumpchain (1).pdf")</f>
        <v>Dead Space - Necromorphs Jumpchain (1).pdf</v>
      </c>
      <c r="B2487" s="12" t="str">
        <f t="shared" si="200"/>
        <v>Reddit Jumpchain Drive/Completed</v>
      </c>
    </row>
    <row r="2488">
      <c r="A2488" s="12" t="str">
        <f>HYPERLINK("https://drive.google.com/file/d/1yEarD7_bX3Vt3Gqq1bQ-Y6V794q3StQn/view?usp=drivesdk","AtLA Jumpchain.pdf")</f>
        <v>AtLA Jumpchain.pdf</v>
      </c>
      <c r="B2488" s="12" t="str">
        <f t="shared" si="200"/>
        <v>Reddit Jumpchain Drive/Completed</v>
      </c>
    </row>
    <row r="2489">
      <c r="A2489" s="12" t="str">
        <f>HYPERLINK("https://drive.google.com/file/d/1mj4ndlkawvlWfMUnPMi6vgecnrp8MsiW/view?usp=drivesdk","Dominions5Jumpv1.0.pdf")</f>
        <v>Dominions5Jumpv1.0.pdf</v>
      </c>
      <c r="B2489" s="12" t="str">
        <f t="shared" si="200"/>
        <v>Reddit Jumpchain Drive/Completed</v>
      </c>
    </row>
    <row r="2490">
      <c r="A2490" s="12" t="str">
        <f>HYPERLINK("https://drive.google.com/file/d/1_qWGRv7DmMK3iP9ai_CKmzttGB--mylo/view?usp=drivesdk","Song of the Sea-Jumpchain.pdf")</f>
        <v>Song of the Sea-Jumpchain.pdf</v>
      </c>
      <c r="B2490" s="12" t="str">
        <f t="shared" si="200"/>
        <v>Reddit Jumpchain Drive/Completed</v>
      </c>
    </row>
    <row r="2491">
      <c r="A2491" s="12" t="str">
        <f>HYPERLINK("https://drive.google.com/file/d/1XJp08Zyaz-OidMCS6BUxWQLkpRIH7qBm/view?usp=drivesdk","Dying Light.pdf")</f>
        <v>Dying Light.pdf</v>
      </c>
      <c r="B2491" s="12" t="str">
        <f t="shared" si="200"/>
        <v>Reddit Jumpchain Drive/Completed</v>
      </c>
    </row>
    <row r="2492">
      <c r="A2492" s="12" t="str">
        <f>HYPERLINK("https://drive.google.com/file/d/14TGCi-rJAMLL1rouqAdSHDoGHW0rAEy4/view?usp=drivesdk","Gloryhammer jump v1.0.pdf")</f>
        <v>Gloryhammer jump v1.0.pdf</v>
      </c>
      <c r="B2492" s="12" t="str">
        <f t="shared" si="200"/>
        <v>Reddit Jumpchain Drive/Completed</v>
      </c>
    </row>
    <row r="2493">
      <c r="A2493" s="12" t="str">
        <f>HYPERLINK("https://drive.google.com/file/d/1tUJTqi7U73rqn-Fl2yKkBo6Yf43ODFGX/view?usp=drivesdk","A Hat In Time.pdf")</f>
        <v>A Hat In Time.pdf</v>
      </c>
      <c r="B2493" s="12" t="str">
        <f t="shared" si="200"/>
        <v>Reddit Jumpchain Drive/Completed</v>
      </c>
    </row>
    <row r="2494">
      <c r="A2494" s="12" t="str">
        <f>HYPERLINK("https://drive.google.com/file/d/1DU84mLyGdyzqGQgx96zQbanO0hrjOnkf/view?usp=drivesdk","Tenchi Muyo! War on Geminar (Isekai no Seikishi Monogatari) - Jumpchain CYOA.pdf")</f>
        <v>Tenchi Muyo! War on Geminar (Isekai no Seikishi Monogatari) - Jumpchain CYOA.pdf</v>
      </c>
      <c r="B2494" s="12" t="str">
        <f t="shared" si="200"/>
        <v>Reddit Jumpchain Drive/Completed</v>
      </c>
    </row>
    <row r="2495">
      <c r="A2495" s="12" t="str">
        <f>HYPERLINK("https://drive.google.com/file/d/1AUuHpEA9xAfOdz-o-MEiHM7qigvrsLPo/view?usp=drivesdk","Scoob! Movie Jump v1.0.pdf")</f>
        <v>Scoob! Movie Jump v1.0.pdf</v>
      </c>
      <c r="B2495" s="12" t="str">
        <f t="shared" si="200"/>
        <v>Reddit Jumpchain Drive/Completed</v>
      </c>
    </row>
    <row r="2496">
      <c r="A2496" s="12" t="str">
        <f>HYPERLINK("https://drive.google.com/file/d/1-NTLUoSPTUo2WtD2jTZRzVn-fb4VI8cj/view?usp=drivesdk","Tail Spin Jump v1.0.pdf")</f>
        <v>Tail Spin Jump v1.0.pdf</v>
      </c>
      <c r="B2496" s="12" t="str">
        <f t="shared" si="200"/>
        <v>Reddit Jumpchain Drive/Completed</v>
      </c>
    </row>
    <row r="2497">
      <c r="A2497" s="12" t="str">
        <f>HYPERLINK("https://drive.google.com/file/d/1oU8OXN3HmyM6VOS1jvqFwOGm_mG9qNWc/view?usp=drivesdk","Mummies Alive! Jump v2.0.pdf")</f>
        <v>Mummies Alive! Jump v2.0.pdf</v>
      </c>
      <c r="B2497" s="12" t="str">
        <f t="shared" si="200"/>
        <v>Reddit Jumpchain Drive/Completed</v>
      </c>
    </row>
    <row r="2498">
      <c r="A2498" s="12" t="str">
        <f>HYPERLINK("https://drive.google.com/file/d/1x4W4Bwg6oMBAoGVin-BDxqy5ih4xyYLz/view?usp=drivesdk","Enchanted Arms Jump 1.0.pdf")</f>
        <v>Enchanted Arms Jump 1.0.pdf</v>
      </c>
      <c r="B2498" s="12" t="str">
        <f t="shared" si="200"/>
        <v>Reddit Jumpchain Drive/Completed</v>
      </c>
    </row>
    <row r="2499">
      <c r="A2499" s="12" t="str">
        <f>HYPERLINK("https://drive.google.com/file/d/1Oqvcj0jcGn2GcdB7nPeWuhJCXCu0kdLY/view?usp=drivesdk","Skulduggery Pleasant Jumpchain v1.05.pdf")</f>
        <v>Skulduggery Pleasant Jumpchain v1.05.pdf</v>
      </c>
      <c r="B2499" s="12" t="str">
        <f t="shared" si="200"/>
        <v>Reddit Jumpchain Drive/Completed</v>
      </c>
    </row>
    <row r="2500">
      <c r="A2500" s="12" t="str">
        <f>HYPERLINK("https://drive.google.com/file/d/1i0-2Ko9WQw-mKdX3AyRIbCM1-b7bGJeW/view?usp=drivesdk","Star Trek Picard Jump V1.0 The Reddit Edition By Lots Of Mistakes.pdf")</f>
        <v>Star Trek Picard Jump V1.0 The Reddit Edition By Lots Of Mistakes.pdf</v>
      </c>
      <c r="B2500" s="12" t="str">
        <f t="shared" si="200"/>
        <v>Reddit Jumpchain Drive/Completed</v>
      </c>
    </row>
    <row r="2501">
      <c r="A2501" s="12" t="str">
        <f>HYPERLINK("https://drive.google.com/file/d/1JCmaf3SCWC-DviMM9mYXHIDcUKXf8Ino/view?usp=drivesdk","Rudazov_s Metauniverse Jump.pdf")</f>
        <v>Rudazov_s Metauniverse Jump.pdf</v>
      </c>
      <c r="B2501" s="12" t="str">
        <f t="shared" si="200"/>
        <v>Reddit Jumpchain Drive/Completed</v>
      </c>
    </row>
    <row r="2502">
      <c r="A2502" s="12" t="str">
        <f>HYPERLINK("https://drive.google.com/file/d/1o0YBFxVLFVt4DesEtYqkAx8SYMBROxqD/view?usp=drivesdk","Rebellion, Princesses, and Lesbians A She-Ra Princesses of Power Jumpchain.pdf")</f>
        <v>Rebellion, Princesses, and Lesbians A She-Ra Princesses of Power Jumpchain.pdf</v>
      </c>
      <c r="B2502" s="12" t="str">
        <f t="shared" si="200"/>
        <v>Reddit Jumpchain Drive/Completed</v>
      </c>
    </row>
    <row r="2503">
      <c r="A2503" s="12" t="str">
        <f>HYPERLINK("https://drive.google.com/file/d/12MZLTyqy3qDz34kic8BoJSbamSng1O2Z/view?usp=drivesdk","Myst.pdf")</f>
        <v>Myst.pdf</v>
      </c>
      <c r="B2503" s="12" t="str">
        <f t="shared" si="200"/>
        <v>Reddit Jumpchain Drive/Completed</v>
      </c>
    </row>
    <row r="2504">
      <c r="A2504" s="12" t="str">
        <f>HYPERLINK("https://drive.google.com/file/d/1UX1BmCFg0UiLyX8t6AYJq8kq_PsRQyK4/view?usp=drivesdk","Murcielago Jumpchain.pdf")</f>
        <v>Murcielago Jumpchain.pdf</v>
      </c>
      <c r="B2504" s="12" t="str">
        <f t="shared" si="200"/>
        <v>Reddit Jumpchain Drive/Completed</v>
      </c>
    </row>
    <row r="2505">
      <c r="A2505" s="12" t="str">
        <f>HYPERLINK("https://drive.google.com/file/d/1Ee6i2N-lMe0Ar1KekOxrEqiHnzZGTgUh/view?usp=drivesdk","Hot Wheels Highway 35 World Race_AcceleRacers JumpChain.pdf")</f>
        <v>Hot Wheels Highway 35 World Race_AcceleRacers JumpChain.pdf</v>
      </c>
      <c r="B2505" s="12" t="str">
        <f t="shared" si="200"/>
        <v>Reddit Jumpchain Drive/Completed</v>
      </c>
    </row>
    <row r="2506">
      <c r="A2506" s="12" t="str">
        <f>HYPERLINK("https://drive.google.com/file/d/1ihzJ92usnhJW9IYwwCfhAqtKKNHNU6Tr/view?usp=drivesdk","Honkai Impact Third v1.2.pdf")</f>
        <v>Honkai Impact Third v1.2.pdf</v>
      </c>
      <c r="B2506" s="12" t="str">
        <f t="shared" si="200"/>
        <v>Reddit Jumpchain Drive/Completed</v>
      </c>
    </row>
    <row r="2507">
      <c r="A2507" s="12" t="str">
        <f>HYPERLINK("https://drive.google.com/file/d/1rpHFBh3xPbDFh7qEitNE8ZEFuJg9iVx0/view?usp=drivesdk","Hitman The Series V1.0 The Reddit Edition By Lots Of Mistakes.pdf")</f>
        <v>Hitman The Series V1.0 The Reddit Edition By Lots Of Mistakes.pdf</v>
      </c>
      <c r="B2507" s="12" t="str">
        <f t="shared" si="200"/>
        <v>Reddit Jumpchain Drive/Completed</v>
      </c>
    </row>
    <row r="2508">
      <c r="A2508" s="12" t="str">
        <f>HYPERLINK("https://drive.google.com/file/d/1wybraWM-suzOb39ldy5L5bfbDJmioBva/view?usp=drivesdk","GemCraft - Frostborn Wrath 1.3.pdf")</f>
        <v>GemCraft - Frostborn Wrath 1.3.pdf</v>
      </c>
      <c r="B2508" s="12" t="str">
        <f t="shared" si="200"/>
        <v>Reddit Jumpchain Drive/Completed</v>
      </c>
    </row>
    <row r="2509">
      <c r="A2509" s="12" t="str">
        <f>HYPERLINK("https://drive.google.com/file/d/1hmFWXdeOMRIbks05aV0kuTItFYkqfZu8/view?usp=drivesdk","Fortuna Jumpchain v 1.2.pdf")</f>
        <v>Fortuna Jumpchain v 1.2.pdf</v>
      </c>
      <c r="B2509" s="12" t="str">
        <f t="shared" si="200"/>
        <v>Reddit Jumpchain Drive/Completed</v>
      </c>
    </row>
    <row r="2510">
      <c r="A2510" s="12" t="str">
        <f>HYPERLINK("https://drive.google.com/file/d/1_gP6QU5RMF54b74Z3ov3ch2B_-6evTu9/view?usp=drivesdk","Dominions 5 Illwinter Jump.pdf")</f>
        <v>Dominions 5 Illwinter Jump.pdf</v>
      </c>
      <c r="B2510" s="12" t="str">
        <f t="shared" si="200"/>
        <v>Reddit Jumpchain Drive/Completed</v>
      </c>
    </row>
    <row r="2511">
      <c r="A2511" s="12" t="str">
        <f>HYPERLINK("https://drive.google.com/file/d/1uBww0xmoERbfI163XdnDfW-_7KIeRvLh/view?usp=drivesdk","Bloodrayne Jumpchain V1.pdf")</f>
        <v>Bloodrayne Jumpchain V1.pdf</v>
      </c>
      <c r="B2511" s="12" t="str">
        <f t="shared" si="200"/>
        <v>Reddit Jumpchain Drive/Completed</v>
      </c>
    </row>
    <row r="2512">
      <c r="A2512" s="12" t="str">
        <f>HYPERLINK("https://drive.google.com/file/d/1gyi0QEu9ZZhHCiieRwxmaviEB6Ytt-hk/view?usp=drivesdk","Uncharted Jumpchain.pdf")</f>
        <v>Uncharted Jumpchain.pdf</v>
      </c>
      <c r="B2512" s="12" t="str">
        <f t="shared" si="200"/>
        <v>Reddit Jumpchain Drive/Completed</v>
      </c>
    </row>
    <row r="2513">
      <c r="A2513" s="12" t="str">
        <f>HYPERLINK("https://drive.google.com/file/d/1IqzTM4XV-5Te3STnu613bGTXoLq2YQ_U/view?usp=drivesdk","A Series of Unfortunate Events Jumpchain.pdf")</f>
        <v>A Series of Unfortunate Events Jumpchain.pdf</v>
      </c>
      <c r="B2513" s="12" t="str">
        <f t="shared" si="200"/>
        <v>Reddit Jumpchain Drive/Completed</v>
      </c>
    </row>
    <row r="2514">
      <c r="A2514" s="12" t="str">
        <f>HYPERLINK("https://drive.google.com/file/d/1t5NT7n2t4N54T9EJFDfETz7RDGYmQt5C/view?usp=drivesdk","Nioh Jumpchain V1.7.pdf")</f>
        <v>Nioh Jumpchain V1.7.pdf</v>
      </c>
      <c r="B2514" s="12" t="str">
        <f t="shared" si="200"/>
        <v>Reddit Jumpchain Drive/Completed</v>
      </c>
    </row>
    <row r="2515">
      <c r="A2515" s="12" t="str">
        <f>HYPERLINK("https://drive.google.com/file/d/1_wCJuaimtBRVZdcanrcaaVUp3V6DAges/view?usp=drivesdk","The Evil Within Jump Chain Version 1.2.pdf")</f>
        <v>The Evil Within Jump Chain Version 1.2.pdf</v>
      </c>
      <c r="B2515" s="12" t="str">
        <f t="shared" si="200"/>
        <v>Reddit Jumpchain Drive/Completed</v>
      </c>
    </row>
    <row r="2516">
      <c r="A2516" s="12" t="str">
        <f>HYPERLINK("https://drive.google.com/file/d/1-f-TVvwgdT1LDcIVKUS1KGs7BU-d_1p_/view?usp=drivesdk","Turok JumpChain V1.2.pdf")</f>
        <v>Turok JumpChain V1.2.pdf</v>
      </c>
      <c r="B2516" s="12" t="str">
        <f t="shared" si="200"/>
        <v>Reddit Jumpchain Drive/Completed</v>
      </c>
    </row>
    <row r="2517">
      <c r="A2517" s="12" t="str">
        <f>HYPERLINK("https://drive.google.com/file/d/1hpyYUstiMB48kWKr2StY_T2VDXioWCS3/view?usp=drivesdk","9 Jumpchain.pdf")</f>
        <v>9 Jumpchain.pdf</v>
      </c>
      <c r="B2517" s="12" t="str">
        <f t="shared" si="200"/>
        <v>Reddit Jumpchain Drive/Completed</v>
      </c>
    </row>
    <row r="2518">
      <c r="A2518" s="12" t="str">
        <f>HYPERLINK("https://drive.google.com/file/d/1OvBmrvD9CF3CDOOQ3VD3uTIfYrVBGmZY/view?usp=drivesdk","The Crow.pdf")</f>
        <v>The Crow.pdf</v>
      </c>
      <c r="B2518" s="12" t="str">
        <f t="shared" si="200"/>
        <v>Reddit Jumpchain Drive/Completed</v>
      </c>
    </row>
    <row r="2519">
      <c r="A2519" s="12" t="str">
        <f>HYPERLINK("https://drive.google.com/file/d/1dvBI6hPRV6xJLbqnL1iOMKgeu0phv9bT/view?usp=drivesdk","The Gray Garden.pdf")</f>
        <v>The Gray Garden.pdf</v>
      </c>
      <c r="B2519" s="12" t="str">
        <f t="shared" si="200"/>
        <v>Reddit Jumpchain Drive/Completed</v>
      </c>
    </row>
    <row r="2520">
      <c r="A2520" s="12" t="str">
        <f>HYPERLINK("https://drive.google.com/file/d/1qm0IxwWi0To-WB_BKihmHL0JALfvH60T/view?usp=drivesdk","Secret Texts Trilogy.pdf")</f>
        <v>Secret Texts Trilogy.pdf</v>
      </c>
      <c r="B2520" s="12" t="str">
        <f t="shared" si="200"/>
        <v>Reddit Jumpchain Drive/Completed</v>
      </c>
    </row>
    <row r="2521">
      <c r="A2521" s="12" t="str">
        <f>HYPERLINK("https://drive.google.com/file/d/1gaD-bTvvM6Io4UPv-aHNLLmcYTEyIqqL/view?usp=drivesdk","Ninja Gaiden Jump v1.2.pdf")</f>
        <v>Ninja Gaiden Jump v1.2.pdf</v>
      </c>
      <c r="B2521" s="12" t="str">
        <f t="shared" si="200"/>
        <v>Reddit Jumpchain Drive/Completed</v>
      </c>
    </row>
    <row r="2522">
      <c r="A2522" s="12" t="str">
        <f>HYPERLINK("https://drive.google.com/file/d/1hlkigcK6iXMzim-xVL3RFGDjbK3aZcrC/view?usp=drivesdk","Untitled Goose Game Jump.pdf")</f>
        <v>Untitled Goose Game Jump.pdf</v>
      </c>
      <c r="B2522" s="12" t="str">
        <f t="shared" si="200"/>
        <v>Reddit Jumpchain Drive/Completed</v>
      </c>
    </row>
    <row r="2523">
      <c r="A2523" s="12" t="str">
        <f>HYPERLINK("https://drive.google.com/file/d/1i4qvaKMNo29P5GYKciHj5NsEqLm9EBJG/view?usp=drivesdk","The Wicked + The Divine Jumpchain.pdf")</f>
        <v>The Wicked + The Divine Jumpchain.pdf</v>
      </c>
      <c r="B2523" s="12" t="str">
        <f t="shared" si="200"/>
        <v>Reddit Jumpchain Drive/Completed</v>
      </c>
    </row>
    <row r="2524">
      <c r="A2524" s="12" t="str">
        <f>HYPERLINK("https://drive.google.com/file/d/1UKl9b74uwAx8-9iab82fh-k0lPvtbpot/view?usp=drivesdk","The Secret World - Legends [Jumpchain].pdf")</f>
        <v>The Secret World - Legends [Jumpchain].pdf</v>
      </c>
      <c r="B2524" s="12" t="str">
        <f t="shared" si="200"/>
        <v>Reddit Jumpchain Drive/Completed</v>
      </c>
    </row>
    <row r="2525">
      <c r="A2525" s="12" t="str">
        <f>HYPERLINK("https://drive.google.com/file/d/1QHE3zRUj1Pom0WnlpxrcA-ddS2pPbQG_/view?usp=drivesdk","The Romance of The Three Kingdoms.pdf")</f>
        <v>The Romance of The Three Kingdoms.pdf</v>
      </c>
      <c r="B2525" s="12" t="str">
        <f t="shared" si="200"/>
        <v>Reddit Jumpchain Drive/Completed</v>
      </c>
    </row>
    <row r="2526">
      <c r="A2526" s="12" t="str">
        <f>HYPERLINK("https://drive.google.com/file/d/1rkPVVRzFAt5-QAJfqKYZgHxlUgW9oknN/view?usp=drivesdk","The Parasolverse Jumpchain.pdf")</f>
        <v>The Parasolverse Jumpchain.pdf</v>
      </c>
      <c r="B2526" s="12" t="str">
        <f t="shared" si="200"/>
        <v>Reddit Jumpchain Drive/Completed</v>
      </c>
    </row>
    <row r="2527">
      <c r="A2527" s="12" t="str">
        <f>HYPERLINK("https://drive.google.com/file/d/1rGfI8-WqYseSR5YeOkzUnCHs1VHa8NFs/view?usp=drivesdk","the night land.pdf")</f>
        <v>the night land.pdf</v>
      </c>
      <c r="B2527" s="12" t="str">
        <f t="shared" si="200"/>
        <v>Reddit Jumpchain Drive/Completed</v>
      </c>
    </row>
    <row r="2528">
      <c r="A2528" s="12" t="str">
        <f>HYPERLINK("https://drive.google.com/file/d/1EJ5qI6Djb5ZUzKxjiE5F8aQCIh3arlGf/view?usp=drivesdk","Starsector v1.2")</f>
        <v>Starsector v1.2</v>
      </c>
      <c r="B2528" s="12" t="str">
        <f t="shared" si="200"/>
        <v>Reddit Jumpchain Drive/Completed</v>
      </c>
    </row>
    <row r="2529">
      <c r="A2529" s="12" t="str">
        <f>HYPERLINK("https://drive.google.com/file/d/1qZQrpbHPXUp0DGbhtSr7WRbY7Gj5GSH0/view?usp=drivesdk","SCP - WAR OF THE SCARLET KING.pdf")</f>
        <v>SCP - WAR OF THE SCARLET KING.pdf</v>
      </c>
      <c r="B2529" s="12" t="str">
        <f t="shared" si="200"/>
        <v>Reddit Jumpchain Drive/Completed</v>
      </c>
    </row>
    <row r="2530">
      <c r="A2530" s="12" t="str">
        <f>HYPERLINK("https://drive.google.com/file/d/1yordaBOB3V3E-yujML83bNuyrDT5QVS_/view?usp=drivesdk","Mistborn Era 1 - Jumpchain Revamp V1.1")</f>
        <v>Mistborn Era 1 - Jumpchain Revamp V1.1</v>
      </c>
      <c r="B2530" s="12" t="str">
        <f t="shared" si="200"/>
        <v>Reddit Jumpchain Drive/Completed</v>
      </c>
    </row>
    <row r="2531">
      <c r="A2531" s="12" t="str">
        <f>HYPERLINK("https://drive.google.com/file/d/1hv5pWk9bpOAXab7u7ts-Cq0mBaaSk1Hp/view?usp=drivesdk","Meet Dave Jumpchain (2).pdf")</f>
        <v>Meet Dave Jumpchain (2).pdf</v>
      </c>
      <c r="B2531" s="12" t="str">
        <f t="shared" si="200"/>
        <v>Reddit Jumpchain Drive/Completed</v>
      </c>
    </row>
    <row r="2532">
      <c r="A2532" s="12" t="str">
        <f>HYPERLINK("https://drive.google.com/file/d/1JfSrcwbthMnhpAO0iVBZXgNduLSy8yM-/view?usp=drivesdk","Inukami Remake.pdf")</f>
        <v>Inukami Remake.pdf</v>
      </c>
      <c r="B2532" s="12" t="str">
        <f t="shared" si="200"/>
        <v>Reddit Jumpchain Drive/Completed</v>
      </c>
    </row>
    <row r="2533">
      <c r="A2533" s="12" t="str">
        <f>HYPERLINK("https://drive.google.com/file/d/1oUhr6-autNpbX2dvYuvegcgTD8LykK94/view?usp=drivesdk","Half Life 2 Jumpchain.pdf")</f>
        <v>Half Life 2 Jumpchain.pdf</v>
      </c>
      <c r="B2533" s="12" t="str">
        <f t="shared" si="200"/>
        <v>Reddit Jumpchain Drive/Completed</v>
      </c>
    </row>
    <row r="2534">
      <c r="A2534" s="12" t="str">
        <f>HYPERLINK("https://drive.google.com/file/d/11nZxQjLazOb92xkxip3DYqaLbbrbhIbu/view?usp=drivesdk","Tokyo Souls.pdf")</f>
        <v>Tokyo Souls.pdf</v>
      </c>
      <c r="B2534" s="12" t="str">
        <f t="shared" si="200"/>
        <v>Reddit Jumpchain Drive/Completed</v>
      </c>
    </row>
    <row r="2535">
      <c r="A2535" s="12" t="str">
        <f>HYPERLINK("https://drive.google.com/file/d/16LiBiojFF0LKPPeEk6rEyz_oNgbXraWh/view?usp=drivesdk","Fallout 2 Jump.pdf")</f>
        <v>Fallout 2 Jump.pdf</v>
      </c>
      <c r="B2535" s="12" t="str">
        <f t="shared" si="200"/>
        <v>Reddit Jumpchain Drive/Completed</v>
      </c>
    </row>
    <row r="2536">
      <c r="A2536" s="12" t="str">
        <f>HYPERLINK("https://drive.google.com/file/d/1j2A9zgapwE88xHQiYSQYxQEYakXytSDg/view?usp=drivesdk","Fable of the Dragon Tyrant.pdf")</f>
        <v>Fable of the Dragon Tyrant.pdf</v>
      </c>
      <c r="B2536" s="12" t="str">
        <f t="shared" si="200"/>
        <v>Reddit Jumpchain Drive/Completed</v>
      </c>
    </row>
    <row r="2537">
      <c r="A2537" s="12" t="str">
        <f>HYPERLINK("https://drive.google.com/file/d/1T00_iXeC7xbJIS1FValPr2xdfesVsG_l/view?usp=drivesdk","My Life as a Teenage Robot Jump (2).pdf")</f>
        <v>My Life as a Teenage Robot Jump (2).pdf</v>
      </c>
      <c r="B2537" s="12" t="str">
        <f t="shared" si="200"/>
        <v>Reddit Jumpchain Drive/Completed</v>
      </c>
    </row>
    <row r="2538">
      <c r="A2538" s="12" t="str">
        <f>HYPERLINK("https://drive.google.com/file/d/1dnkfWCF1zq1ztPDcJo57bewnrm2QccZJ/view?usp=drivesdk","Mario _ Luigi Jump + Minion Quest.pdf")</f>
        <v>Mario _ Luigi Jump + Minion Quest.pdf</v>
      </c>
      <c r="B2538" s="12" t="str">
        <f t="shared" si="200"/>
        <v>Reddit Jumpchain Drive/Completed</v>
      </c>
    </row>
    <row r="2539">
      <c r="A2539" s="12" t="str">
        <f>HYPERLINK("https://drive.google.com/file/d/1Q26RSp-nF1C07rCoFkJeg3j2NjqxsD1y/view?usp=drivesdk","Walk Hard.pdf")</f>
        <v>Walk Hard.pdf</v>
      </c>
      <c r="B2539" s="12" t="str">
        <f t="shared" si="200"/>
        <v>Reddit Jumpchain Drive/Completed</v>
      </c>
    </row>
    <row r="2540">
      <c r="A2540" s="12" t="str">
        <f>HYPERLINK("https://drive.google.com/file/d/1PIUpl18VOuD05-ROZMJH1LXbjPBIMUtc/view?usp=drivesdk","Mythbusters Jump V. 1.1 - Google Docs.pdf")</f>
        <v>Mythbusters Jump V. 1.1 - Google Docs.pdf</v>
      </c>
      <c r="B2540" s="12" t="str">
        <f t="shared" si="200"/>
        <v>Reddit Jumpchain Drive/Completed</v>
      </c>
    </row>
    <row r="2541">
      <c r="A2541" s="12" t="str">
        <f>HYPERLINK("https://drive.google.com/file/d/1ilWadgYMTl11hY109bCnkibouzzeY2kY/view?usp=drivesdk","Kyoukai no Kanata Jumpchain.pdf")</f>
        <v>Kyoukai no Kanata Jumpchain.pdf</v>
      </c>
      <c r="B2541" s="12" t="str">
        <f t="shared" si="200"/>
        <v>Reddit Jumpchain Drive/Completed</v>
      </c>
    </row>
    <row r="2542">
      <c r="A2542" s="12" t="str">
        <f>HYPERLINK("https://drive.google.com/file/d/1y5MzvS32DrWRGnYZUC1_e4_zFIaxyl8Z/view?usp=drivesdk","Douluo Dalu ver Gamma.pdf")</f>
        <v>Douluo Dalu ver Gamma.pdf</v>
      </c>
      <c r="B2542" s="12" t="str">
        <f t="shared" si="200"/>
        <v>Reddit Jumpchain Drive/Completed</v>
      </c>
    </row>
    <row r="2543">
      <c r="A2543" s="12" t="str">
        <f>HYPERLINK("https://drive.google.com/file/d/1bl0-Yuj-DXVFmNDbPJ6YFMQNNPtHicA_/view?usp=drivesdk","Celeste.pdf")</f>
        <v>Celeste.pdf</v>
      </c>
      <c r="B2543" s="12" t="str">
        <f t="shared" si="200"/>
        <v>Reddit Jumpchain Drive/Completed</v>
      </c>
    </row>
    <row r="2544">
      <c r="A2544" s="12" t="str">
        <f>HYPERLINK("https://drive.google.com/file/d/1D6ksmTccWghwSkipj9aBmIqFHouWOvXu/view?usp=drivesdk","Full Metal Alchemist Jumpchain V1.pdf")</f>
        <v>Full Metal Alchemist Jumpchain V1.pdf</v>
      </c>
      <c r="B2544" s="12" t="str">
        <f t="shared" si="200"/>
        <v>Reddit Jumpchain Drive/Completed</v>
      </c>
    </row>
    <row r="2545">
      <c r="A2545" s="12" t="str">
        <f>HYPERLINK("https://drive.google.com/file/d/1CrocdUFNmcFLCPREmNjgQ2x6OCJV2kon/view?usp=drivesdk","Death March.pdf")</f>
        <v>Death March.pdf</v>
      </c>
      <c r="B2545" s="12" t="str">
        <f t="shared" si="200"/>
        <v>Reddit Jumpchain Drive/Completed</v>
      </c>
    </row>
    <row r="2546">
      <c r="A2546" s="12" t="str">
        <f>HYPERLINK("https://drive.google.com/file/d/1eBJgpFLgAWenf6qP7_Ra2icctQWRKGb2/view?usp=drivesdk","Nurarihyon.pdf")</f>
        <v>Nurarihyon.pdf</v>
      </c>
      <c r="B2546" s="12" t="str">
        <f t="shared" si="200"/>
        <v>Reddit Jumpchain Drive/Completed</v>
      </c>
    </row>
    <row r="2547">
      <c r="A2547" s="12" t="str">
        <f>HYPERLINK("https://drive.google.com/file/d/18T9vLyWtgmEng_ZEYleKkovXA_qu8mGN/view?usp=drivesdk","Shrike Twilight Legacy.pdf")</f>
        <v>Shrike Twilight Legacy.pdf</v>
      </c>
      <c r="B2547" s="12" t="str">
        <f t="shared" si="200"/>
        <v>Reddit Jumpchain Drive/Completed</v>
      </c>
    </row>
    <row r="2548">
      <c r="A2548" s="12" t="str">
        <f>HYPERLINK("https://drive.google.com/file/d/13JwjvYxDSn8-3-YZ1tKCXg2fp8qUh2lH/view?usp=drivesdk","THE DARK WOLF SHIRO.pdf")</f>
        <v>THE DARK WOLF SHIRO.pdf</v>
      </c>
      <c r="B2548" s="12" t="str">
        <f t="shared" si="200"/>
        <v>Reddit Jumpchain Drive/Completed</v>
      </c>
    </row>
    <row r="2549">
      <c r="A2549" s="12" t="str">
        <f>HYPERLINK("https://drive.google.com/file/d/1WY-LlJ5xr6wuBOW5Q33NvOyVuhF7x9-u/view?usp=drivesdk","Black Clover.pdf")</f>
        <v>Black Clover.pdf</v>
      </c>
      <c r="B2549" s="12" t="str">
        <f t="shared" si="200"/>
        <v>Reddit Jumpchain Drive/Completed</v>
      </c>
    </row>
    <row r="2550">
      <c r="A2550" s="12" t="str">
        <f>HYPERLINK("https://drive.google.com/file/d/1SdpzyhDj4NKSWuaTbEQxizwDfEv5v-nm/view?usp=drivesdk","Apex.pdf")</f>
        <v>Apex.pdf</v>
      </c>
      <c r="B2550" s="12" t="str">
        <f t="shared" si="200"/>
        <v>Reddit Jumpchain Drive/Completed</v>
      </c>
    </row>
    <row r="2551">
      <c r="A2551" s="12" t="str">
        <f>HYPERLINK("https://drive.google.com/file/d/1r2HxWTV5i6I_MhiJPbOGfWTBURV-SLaa/view?usp=drivesdk","Wonderland No More.pdf")</f>
        <v>Wonderland No More.pdf</v>
      </c>
      <c r="B2551" s="12" t="str">
        <f t="shared" si="200"/>
        <v>Reddit Jumpchain Drive/Completed</v>
      </c>
    </row>
    <row r="2552">
      <c r="A2552" s="12" t="str">
        <f>HYPERLINK("https://drive.google.com/file/d/1s8kp4RbFoVu6BKqdAc4VvWiuc80KZAJk/view?usp=drivesdk","A Game Of Thrones Jumpchain.pdf")</f>
        <v>A Game Of Thrones Jumpchain.pdf</v>
      </c>
      <c r="B2552" s="12" t="str">
        <f t="shared" si="200"/>
        <v>Reddit Jumpchain Drive/Completed</v>
      </c>
    </row>
    <row r="2553">
      <c r="A2553" s="12" t="str">
        <f>HYPERLINK("https://drive.google.com/file/d/1tLYyBOqtvFvOG7zyyQ2seJm-faBqKP4a/view?usp=drivesdk","ArsMagicaJumpchain_v1.1.pdf")</f>
        <v>ArsMagicaJumpchain_v1.1.pdf</v>
      </c>
      <c r="B2553" s="12" t="str">
        <f t="shared" si="200"/>
        <v>Reddit Jumpchain Drive/Completed</v>
      </c>
    </row>
    <row r="2554">
      <c r="A2554" s="12" t="str">
        <f>HYPERLINK("https://drive.google.com/file/d/1mKsuOXFpTsq_ZBW_-dDBnbG0Ar5CEGDJ/view?usp=drivesdk","King of the Hill.pdf")</f>
        <v>King of the Hill.pdf</v>
      </c>
      <c r="B2554" s="12" t="str">
        <f t="shared" si="200"/>
        <v>Reddit Jumpchain Drive/Completed</v>
      </c>
    </row>
    <row r="2555">
      <c r="A2555" s="12" t="str">
        <f>HYPERLINK("https://drive.google.com/file/d/1XDYP5s9VnEvuiT-VFN_8MgH4aNEvya8V/view?usp=drivesdk","Running Away From The Hero(RATH) V1.0.pdf")</f>
        <v>Running Away From The Hero(RATH) V1.0.pdf</v>
      </c>
      <c r="B2555" s="12" t="str">
        <f t="shared" si="200"/>
        <v>Reddit Jumpchain Drive/Completed</v>
      </c>
    </row>
    <row r="2556">
      <c r="A2556" s="12" t="str">
        <f>HYPERLINK("https://drive.google.com/file/d/1e6EUXmCo8AQcEIlCBEaEDMVhPqtPwdd9/view?usp=drivesdk","Ravnica.pdf")</f>
        <v>Ravnica.pdf</v>
      </c>
      <c r="B2556" s="12" t="str">
        <f t="shared" si="200"/>
        <v>Reddit Jumpchain Drive/Completed</v>
      </c>
    </row>
    <row r="2557">
      <c r="A2557" s="12" t="str">
        <f>HYPERLINK("https://drive.google.com/file/d/10RLxcLnqHT9q4KXKrHAGUWGde6Gj2c6l/view?usp=drivesdk","Kekkaishi Jumpchain v1.5.pdf")</f>
        <v>Kekkaishi Jumpchain v1.5.pdf</v>
      </c>
      <c r="B2557" s="12" t="str">
        <f t="shared" si="200"/>
        <v>Reddit Jumpchain Drive/Completed</v>
      </c>
    </row>
    <row r="2558">
      <c r="A2558" s="12" t="str">
        <f>HYPERLINK("https://drive.google.com/file/d/1rmbLnG0_puny2_HYk56JmWTKWH2zJDDc/view?usp=drivesdk","The Addams Family v21.4.pdf")</f>
        <v>The Addams Family v21.4.pdf</v>
      </c>
      <c r="B2558" s="12" t="str">
        <f t="shared" si="200"/>
        <v>Reddit Jumpchain Drive/Completed</v>
      </c>
    </row>
    <row r="2559">
      <c r="A2559" s="12" t="str">
        <f>HYPERLINK("https://drive.google.com/file/d/1Gu3hUWonR9hCcv6zYk-x8Dx94xY3BI0K/view?usp=drivesdk","One-Punch Man Jumpchain.pdf")</f>
        <v>One-Punch Man Jumpchain.pdf</v>
      </c>
      <c r="B2559" s="12" t="str">
        <f t="shared" si="200"/>
        <v>Reddit Jumpchain Drive/Completed</v>
      </c>
    </row>
    <row r="2560">
      <c r="A2560" s="12" t="str">
        <f>HYPERLINK("https://drive.google.com/file/d/1Ra2x63-soaN2DCY9puob7uwiK2M6E76t/view?usp=drivesdk","Winter Holiday Special Jump-0,07.pdf")</f>
        <v>Winter Holiday Special Jump-0,07.pdf</v>
      </c>
      <c r="B2560" s="12" t="str">
        <f t="shared" si="200"/>
        <v>Reddit Jumpchain Drive/Completed</v>
      </c>
    </row>
    <row r="2561">
      <c r="A2561" s="12" t="str">
        <f>HYPERLINK("https://drive.google.com/file/d/13CGhmIagW8pxbKgI02WaBhVnxHzm3bJM/view?usp=drivesdk","Dragon Prince Jumpchain.pdf")</f>
        <v>Dragon Prince Jumpchain.pdf</v>
      </c>
      <c r="B2561" s="12" t="str">
        <f t="shared" si="200"/>
        <v>Reddit Jumpchain Drive/Completed</v>
      </c>
    </row>
    <row r="2562">
      <c r="A2562" s="12" t="str">
        <f>HYPERLINK("https://drive.google.com/file/d/1cZYeIpJVQltfW2ajKAzNXe0SkrGYZBeY/view?usp=drivesdk","To-Love-Ru-Jump.pdf")</f>
        <v>To-Love-Ru-Jump.pdf</v>
      </c>
      <c r="B2562" s="12" t="str">
        <f t="shared" si="200"/>
        <v>Reddit Jumpchain Drive/Completed</v>
      </c>
    </row>
    <row r="2563">
      <c r="A2563" s="12" t="str">
        <f>HYPERLINK("https://drive.google.com/file/d/14NyuYx5cbZ96pwidUxjnKSaUFDEi2L6d/view?usp=drivesdk","Galavant.pdf")</f>
        <v>Galavant.pdf</v>
      </c>
      <c r="B2563" s="12" t="str">
        <f t="shared" si="200"/>
        <v>Reddit Jumpchain Drive/Completed</v>
      </c>
    </row>
    <row r="2564">
      <c r="A2564" s="12" t="str">
        <f>HYPERLINK("https://drive.google.com/file/d/1GmkE91bw_lAWyDgg44HznK5_HsBt7GMR/view?usp=drivesdk","Charlotte.pdf")</f>
        <v>Charlotte.pdf</v>
      </c>
      <c r="B2564" s="12" t="str">
        <f t="shared" si="200"/>
        <v>Reddit Jumpchain Drive/Completed</v>
      </c>
    </row>
    <row r="2565">
      <c r="A2565" s="12" t="str">
        <f>HYPERLINK("https://drive.google.com/file/d/1H_F85c_2D-pJG7Aue6TFKsXU71KZfCX3/view?usp=drivesdk","Akira Jump (1).pdf")</f>
        <v>Akira Jump (1).pdf</v>
      </c>
      <c r="B2565" s="12" t="str">
        <f t="shared" si="200"/>
        <v>Reddit Jumpchain Drive/Completed</v>
      </c>
    </row>
    <row r="2566">
      <c r="A2566" s="12" t="str">
        <f>HYPERLINK("https://drive.google.com/file/d/1aqmn60O5RkOqUBKBTR8x1Y21wneh4ccB/view?usp=drivesdk","Into The Spiderverse Jumpchain v1.2 (3).pdf")</f>
        <v>Into The Spiderverse Jumpchain v1.2 (3).pdf</v>
      </c>
      <c r="B2566" s="12" t="str">
        <f t="shared" si="200"/>
        <v>Reddit Jumpchain Drive/Completed</v>
      </c>
    </row>
    <row r="2567">
      <c r="A2567" s="12" t="str">
        <f>HYPERLINK("https://drive.google.com/file/d/1mf4bmTAglZD1yjddyd-1X98qdNMxqN-h/view?usp=drivesdk","Miracleman.pdf")</f>
        <v>Miracleman.pdf</v>
      </c>
      <c r="B2567" s="12" t="str">
        <f t="shared" si="200"/>
        <v>Reddit Jumpchain Drive/Completed</v>
      </c>
    </row>
    <row r="2568">
      <c r="A2568" s="12" t="str">
        <f>HYPERLINK("https://drive.google.com/file/d/1ByGgEO2krQ5Xlryb70na72D-S9_iTqy-/view?usp=drivesdk","Azeroth Jumpchain.pdf")</f>
        <v>Azeroth Jumpchain.pdf</v>
      </c>
      <c r="B2568" s="12" t="str">
        <f t="shared" si="200"/>
        <v>Reddit Jumpchain Drive/Completed</v>
      </c>
    </row>
    <row r="2569">
      <c r="A2569" s="12" t="str">
        <f>HYPERLINK("https://drive.google.com/file/d/17G6TL1SN3sAh-t6DjKflNevksWK0WtRC/view?usp=drivesdk","RimWorld.pdf")</f>
        <v>RimWorld.pdf</v>
      </c>
      <c r="B2569" s="12" t="str">
        <f t="shared" si="200"/>
        <v>Reddit Jumpchain Drive/Completed</v>
      </c>
    </row>
    <row r="2570">
      <c r="A2570" s="12" t="str">
        <f>HYPERLINK("https://drive.google.com/file/d/1sJ28F8WBXsKFEdEf5ID_y8jIDGy7D4Gx/view?usp=drivesdk","Knights and Magic Jumpchain.pdf")</f>
        <v>Knights and Magic Jumpchain.pdf</v>
      </c>
      <c r="B2570" s="12" t="str">
        <f t="shared" si="200"/>
        <v>Reddit Jumpchain Drive/Completed</v>
      </c>
    </row>
    <row r="2571">
      <c r="A2571" s="12" t="str">
        <f>HYPERLINK("https://drive.google.com/file/d/1--PZUPA-WCUMSIFtnIeRSAloYQFruSDT/view?usp=drivesdk","Trouble in terrorist town.pdf")</f>
        <v>Trouble in terrorist town.pdf</v>
      </c>
      <c r="B2571" s="12" t="str">
        <f t="shared" si="200"/>
        <v>Reddit Jumpchain Drive/Completed</v>
      </c>
    </row>
    <row r="2572">
      <c r="A2572" s="12" t="str">
        <f>HYPERLINK("https://drive.google.com/file/d/1JUp-fvWVNlubLoaBiLx5plHOjzcjP3vE/view?usp=drivesdk","Toaruverse Jump.pdf")</f>
        <v>Toaruverse Jump.pdf</v>
      </c>
      <c r="B2572" s="12" t="str">
        <f t="shared" si="200"/>
        <v>Reddit Jumpchain Drive/Completed</v>
      </c>
    </row>
    <row r="2573">
      <c r="A2573" s="12" t="str">
        <f>HYPERLINK("https://drive.google.com/file/d/1-BD9NwP71xcW9sDxiADctcInJw7SGTSo/view?usp=drivesdk","Shantae Jumpchain 1.0.1.pdf")</f>
        <v>Shantae Jumpchain 1.0.1.pdf</v>
      </c>
      <c r="B2573" s="12" t="str">
        <f t="shared" si="200"/>
        <v>Reddit Jumpchain Drive/Completed</v>
      </c>
    </row>
    <row r="2574">
      <c r="A2574" s="12" t="str">
        <f>HYPERLINK("https://drive.google.com/file/d/1rAVu8q3KTUUBvXT4MzP58p9iisqkRV79/view?usp=drivesdk","Wanted (Comics) .3.pdf")</f>
        <v>Wanted (Comics) .3.pdf</v>
      </c>
      <c r="B2574" s="12" t="str">
        <f t="shared" si="200"/>
        <v>Reddit Jumpchain Drive/Completed</v>
      </c>
    </row>
    <row r="2575">
      <c r="A2575" s="12" t="str">
        <f>HYPERLINK("https://drive.google.com/file/d/1UaHDLS0s6sWDXYyX-fgel2lK-UH929nP/view?usp=drivesdk","Made in abyss jumpchain By Heavenicarus.pdf")</f>
        <v>Made in abyss jumpchain By Heavenicarus.pdf</v>
      </c>
      <c r="B2575" s="12" t="str">
        <f t="shared" si="200"/>
        <v>Reddit Jumpchain Drive/Completed</v>
      </c>
    </row>
    <row r="2576">
      <c r="A2576" s="12" t="str">
        <f>HYPERLINK("https://drive.google.com/file/d/1xiAAD3OcK8e4pVwyAe474fPOt3qVa3F7/view?usp=drivesdk","Chunnibyou Demo Koi Ga Shitai.pdf")</f>
        <v>Chunnibyou Demo Koi Ga Shitai.pdf</v>
      </c>
      <c r="B2576" s="12" t="str">
        <f t="shared" si="200"/>
        <v>Reddit Jumpchain Drive/Completed</v>
      </c>
    </row>
    <row r="2577">
      <c r="A2577" s="12" t="str">
        <f>HYPERLINK("https://drive.google.com/file/d/1hgAS5LQ_HpgF4RIiuNN04GYs4KdQB96-/view?usp=drivesdk","Serious Sam Jumpchain Draft 1.1.pdf")</f>
        <v>Serious Sam Jumpchain Draft 1.1.pdf</v>
      </c>
      <c r="B2577" s="12" t="str">
        <f t="shared" si="200"/>
        <v>Reddit Jumpchain Drive/Completed</v>
      </c>
    </row>
    <row r="2578">
      <c r="A2578" s="12" t="str">
        <f>HYPERLINK("https://drive.google.com/file/d/1d4Xrbp0kDycsXRRTZjJltV5l81U5DqoL/view?usp=drivesdk","Casper The Friendly Ghost Jumpchain 1.1.pdf")</f>
        <v>Casper The Friendly Ghost Jumpchain 1.1.pdf</v>
      </c>
      <c r="B2578" s="12" t="str">
        <f t="shared" si="200"/>
        <v>Reddit Jumpchain Drive/Completed</v>
      </c>
    </row>
    <row r="2579">
      <c r="A2579" s="12" t="str">
        <f>HYPERLINK("https://drive.google.com/file/d/1QMdkIM-p11H8WAHZwOdPi5UoWzv_q0Cs/view?usp=drivesdk","Henkei Shoujo jump.pdf")</f>
        <v>Henkei Shoujo jump.pdf</v>
      </c>
      <c r="B2579" s="12" t="str">
        <f t="shared" si="200"/>
        <v>Reddit Jumpchain Drive/Completed</v>
      </c>
    </row>
    <row r="2580">
      <c r="A2580" s="12" t="str">
        <f>HYPERLINK("https://drive.google.com/file/d/17si698rd1W2Qy87T05yBWPGrZepn3o-v/view?usp=drivesdk","Heat Signature Jumpchain FINAL FINAL.pdf")</f>
        <v>Heat Signature Jumpchain FINAL FINAL.pdf</v>
      </c>
      <c r="B2580" s="12" t="str">
        <f t="shared" si="200"/>
        <v>Reddit Jumpchain Drive/Completed</v>
      </c>
    </row>
    <row r="2581">
      <c r="A2581" s="12" t="str">
        <f>HYPERLINK("https://drive.google.com/file/d/1Cq2XPJIvVPrcD4EtSEmQbVHEtAZ5Mgxl/view?usp=drivesdk","NuTrek Jumpchan.pdf")</f>
        <v>NuTrek Jumpchan.pdf</v>
      </c>
      <c r="B2581" s="12" t="str">
        <f t="shared" si="200"/>
        <v>Reddit Jumpchain Drive/Completed</v>
      </c>
    </row>
    <row r="2582">
      <c r="A2582" s="12" t="str">
        <f>HYPERLINK("https://drive.google.com/file/d/1AQbs0REkDVVLdTt0k7YW6v0GXZMP0iOt/view?usp=drivesdk","Message from Jump chan to Jumper about Genocide Undertale.pdf")</f>
        <v>Message from Jump chan to Jumper about Genocide Undertale.pdf</v>
      </c>
      <c r="B2582" s="12" t="str">
        <f t="shared" ref="B2582:B2584" si="201">HYPERLINK("https://drive.google.com/drive/folders/19c40KV55vpYbnl7tL5nJIYLEEgO75mSh","Reddit Jumpchain Drive/Completed/Murdertale Folder")</f>
        <v>Reddit Jumpchain Drive/Completed/Murdertale Folder</v>
      </c>
    </row>
    <row r="2583">
      <c r="A2583" s="12" t="str">
        <f>HYPERLINK("https://drive.google.com/file/d/1PldEcfpSbePTgS4cWGBuIoI-tjyl1oM7/view?usp=drivesdk","read this first.pdf")</f>
        <v>read this first.pdf</v>
      </c>
      <c r="B2583" s="12" t="str">
        <f t="shared" si="201"/>
        <v>Reddit Jumpchain Drive/Completed/Murdertale Folder</v>
      </c>
    </row>
    <row r="2584">
      <c r="A2584" s="12" t="str">
        <f>HYPERLINK("https://drive.google.com/file/d/1v7gVv85xZDa8xHh3vaw5rtVRL2L-1ODM/view?usp=drivesdk","Genocide Chara speech.pdf")</f>
        <v>Genocide Chara speech.pdf</v>
      </c>
      <c r="B2584" s="12" t="str">
        <f t="shared" si="201"/>
        <v>Reddit Jumpchain Drive/Completed/Murdertale Folder</v>
      </c>
    </row>
    <row r="2585">
      <c r="A2585" s="12" t="str">
        <f>HYPERLINK("https://drive.google.com/file/d/1B3ZR-rCI0IdnI7lQz5R-vuKRmQRibsGd/view?usp=drivesdk","Undertale Jumpchain.pdf")</f>
        <v>Undertale Jumpchain.pdf</v>
      </c>
      <c r="B2585" s="12" t="str">
        <f>HYPERLINK("https://drive.google.com/drive/folders/1f4rXzYHXXSl_xEn-v0KG0uPsS9PTiT6p","Reddit Jumpchain Drive/Completed/Murdertale Folder/Undertale Jump (GENOCIDE RUN)")</f>
        <v>Reddit Jumpchain Drive/Completed/Murdertale Folder/Undertale Jump (GENOCIDE RUN)</v>
      </c>
    </row>
    <row r="2586">
      <c r="A2586" s="12" t="str">
        <f>HYPERLINK("https://drive.google.com/file/d/1pLeOiHjgcNYcBmCouZ-TnAga-6qlkj81/view?usp=drivesdk","Chara Reformed.pdf")</f>
        <v>Chara Reformed.pdf</v>
      </c>
      <c r="B2586" s="12" t="str">
        <f>HYPERLINK("https://drive.google.com/drive/folders/1sifFdYoDMOsbmzpHXdzf1ZUGK_8HrjTK","Reddit Jumpchain Drive/Completed/Murdertale Folder/Undertale Jump (GENOCIDE RUN)/If you decided to reform Chara go here")</f>
        <v>Reddit Jumpchain Drive/Completed/Murdertale Folder/Undertale Jump (GENOCIDE RUN)/If you decided to reform Chara go here</v>
      </c>
    </row>
    <row r="2587">
      <c r="A2587" s="12" t="str">
        <f>HYPERLINK("https://drive.google.com/file/d/1NxJFplI2HMciP55vYhxGKqakd4-lLB7W/view?usp=drivesdk","Feeder Fantasy Jumpchain.pdf")</f>
        <v>Feeder Fantasy Jumpchain.pdf</v>
      </c>
      <c r="B2587" s="12" t="str">
        <f t="shared" ref="B2587:B2598" si="202">HYPERLINK("https://drive.google.com/drive/folders/1UuIzjn-K2O1k86m60rpLfUulyu53CsvL","Reddit Jumpchain Drive/Completed/NSFW")</f>
        <v>Reddit Jumpchain Drive/Completed/NSFW</v>
      </c>
    </row>
    <row r="2588">
      <c r="A2588" s="12" t="str">
        <f>HYPERLINK("https://drive.google.com/file/d/1llqVUkucv5AOSg67OV1XpkaspVBWOFv8/view?usp=drivesdk","Ikusa Otome Valkyrie v.2.pdf")</f>
        <v>Ikusa Otome Valkyrie v.2.pdf</v>
      </c>
      <c r="B2588" s="12" t="str">
        <f t="shared" si="202"/>
        <v>Reddit Jumpchain Drive/Completed/NSFW</v>
      </c>
    </row>
    <row r="2589">
      <c r="A2589" s="12" t="str">
        <f>HYPERLINK("https://drive.google.com/file/d/1ecDRWBeieZSRIHzIrLJ_XaRIA4DsSc6t/view?usp=drivesdk","Generic Sex World Jump V1.0.pdf")</f>
        <v>Generic Sex World Jump V1.0.pdf</v>
      </c>
      <c r="B2589" s="12" t="str">
        <f t="shared" si="202"/>
        <v>Reddit Jumpchain Drive/Completed/NSFW</v>
      </c>
    </row>
    <row r="2590">
      <c r="A2590" s="12" t="str">
        <f>HYPERLINK("https://drive.google.com/file/d/1H-LnChA0NiRc2mbMxh5nTl0YyblpiOdQ/view?usp=drivesdk","Manyuu Hikenchou.pdf")</f>
        <v>Manyuu Hikenchou.pdf</v>
      </c>
      <c r="B2590" s="12" t="str">
        <f t="shared" si="202"/>
        <v>Reddit Jumpchain Drive/Completed/NSFW</v>
      </c>
    </row>
    <row r="2591">
      <c r="A2591" s="12" t="str">
        <f>HYPERLINK("https://drive.google.com/file/d/1YtsWQ-9AT2fROrEJKymS4xD0XC7gJE51/view?usp=drivesdk","GGG jump.pdf")</f>
        <v>GGG jump.pdf</v>
      </c>
      <c r="B2591" s="12" t="str">
        <f t="shared" si="202"/>
        <v>Reddit Jumpchain Drive/Completed/NSFW</v>
      </c>
    </row>
    <row r="2592">
      <c r="A2592" s="12" t="str">
        <f>HYPERLINK("https://drive.google.com/file/d/1OFutA2ufrkU8cK3kgFWwlnU6-nQTZ_xq/view?usp=drivesdk","Omegaverse Jumpchain.pdf")</f>
        <v>Omegaverse Jumpchain.pdf</v>
      </c>
      <c r="B2592" s="12" t="str">
        <f t="shared" si="202"/>
        <v>Reddit Jumpchain Drive/Completed/NSFW</v>
      </c>
    </row>
    <row r="2593">
      <c r="A2593" s="12" t="str">
        <f>HYPERLINK("https://drive.google.com/file/d/1eBXif64PvNHpJqeOFBPM0FF3cTaFPMN_/view?usp=drivesdk","Generic Thiccverse Jump.pdf")</f>
        <v>Generic Thiccverse Jump.pdf</v>
      </c>
      <c r="B2593" s="12" t="str">
        <f t="shared" si="202"/>
        <v>Reddit Jumpchain Drive/Completed/NSFW</v>
      </c>
    </row>
    <row r="2594">
      <c r="A2594" s="12" t="str">
        <f>HYPERLINK("https://drive.google.com/file/d/1RQhsyHQqiTF2s1dotzHil2e-tcOWiGoK/view?usp=drivesdk","The Gamer, CHYOA Edition V2.pdf")</f>
        <v>The Gamer, CHYOA Edition V2.pdf</v>
      </c>
      <c r="B2594" s="12" t="str">
        <f t="shared" si="202"/>
        <v>Reddit Jumpchain Drive/Completed/NSFW</v>
      </c>
    </row>
    <row r="2595">
      <c r="A2595" s="12" t="str">
        <f>HYPERLINK("https://drive.google.com/file/d/1V1WQUxWndzfjXzKW22EpImx1c26BHIdL/view?usp=drivesdk","Silver Comics 3.0.pdf")</f>
        <v>Silver Comics 3.0.pdf</v>
      </c>
      <c r="B2595" s="12" t="str">
        <f t="shared" si="202"/>
        <v>Reddit Jumpchain Drive/Completed/NSFW</v>
      </c>
    </row>
    <row r="2596">
      <c r="A2596" s="12" t="str">
        <f>HYPERLINK("https://drive.google.com/file/d/11lcqcLWCiSh7XYTl_0WghMc-PBH4iNWp/view?usp=drivesdk","Silver Comics 3.5.pdf")</f>
        <v>Silver Comics 3.5.pdf</v>
      </c>
      <c r="B2596" s="12" t="str">
        <f t="shared" si="202"/>
        <v>Reddit Jumpchain Drive/Completed/NSFW</v>
      </c>
    </row>
    <row r="2597">
      <c r="A2597" s="12" t="str">
        <f>HYPERLINK("https://drive.google.com/file/d/1GIwV_ll3ObEficuwM9PJ3A7x2vWCMeHg/view?usp=drivesdk","The Convent of Hell NSFW Jumpchain CYOA.pdf")</f>
        <v>The Convent of Hell NSFW Jumpchain CYOA.pdf</v>
      </c>
      <c r="B2597" s="12" t="str">
        <f t="shared" si="202"/>
        <v>Reddit Jumpchain Drive/Completed/NSFW</v>
      </c>
    </row>
    <row r="2598">
      <c r="A2598" s="12" t="str">
        <f>HYPERLINK("https://drive.google.com/file/d/1vrF0TiJp7lkQgSaea-MYx9JvOKH6P7JN/view?usp=drivesdk","Hakueki Shobou.pdf")</f>
        <v>Hakueki Shobou.pdf</v>
      </c>
      <c r="B2598" s="12" t="str">
        <f t="shared" si="202"/>
        <v>Reddit Jumpchain Drive/Completed/NSFW</v>
      </c>
    </row>
    <row r="2599">
      <c r="A2599" s="12" t="str">
        <f>HYPERLINK("https://drive.google.com/file/d/1GD5gBKHxWgfhYBPs1RqyBXecvYRrx4fc/view?usp=drivesdk","Transformers Michael Bay Jump 2.0 .pdf")</f>
        <v>Transformers Michael Bay Jump 2.0 .pdf</v>
      </c>
      <c r="B2599" s="12" t="str">
        <f t="shared" ref="B2599:B2600" si="203">HYPERLINK("https://drive.google.com/drive/folders/1XmR1b34DYH7FUcS4CU7nfBEVmUGdVhgO","Reddit Jumpchain Drive/Completed/Named Folders of Reddit/Transformers")</f>
        <v>Reddit Jumpchain Drive/Completed/Named Folders of Reddit/Transformers</v>
      </c>
    </row>
    <row r="2600">
      <c r="A2600" s="12" t="str">
        <f>HYPERLINK("https://drive.google.com/file/d/1DEPznSrqQN8aAUFLH4TeRRyWnIDZyL58/view?usp=drivesdk","Transformers Michael Bay 2.0 Simple version.pdf")</f>
        <v>Transformers Michael Bay 2.0 Simple version.pdf</v>
      </c>
      <c r="B2600" s="12" t="str">
        <f t="shared" si="203"/>
        <v>Reddit Jumpchain Drive/Completed/Named Folders of Reddit/Transformers</v>
      </c>
    </row>
    <row r="2601">
      <c r="A2601" s="12" t="str">
        <f>HYPERLINK("https://drive.google.com/file/d/1CA6YnIcI3Q-hAl5MCjhSxto43O45ee8Z/view?usp=drivesdk","Transformers Prime Jumpchain.pdf")</f>
        <v>Transformers Prime Jumpchain.pdf</v>
      </c>
      <c r="B2601" s="12" t="str">
        <f t="shared" ref="B2601:B2604" si="204">HYPERLINK("https://drive.google.com/drive/folders/1M5tCOM7t1ddgdhGjYQ9x6cbtWZiGZFzu","Reddit Jumpchain Drive/Completed/Named Folders of Reddit/Transformers")</f>
        <v>Reddit Jumpchain Drive/Completed/Named Folders of Reddit/Transformers</v>
      </c>
    </row>
    <row r="2602">
      <c r="A2602" s="12" t="str">
        <f>HYPERLINK("https://drive.google.com/file/d/1VHaFmnR2btY0YCBzj-HiSua2x7Chl12f/view?usp=drivesdk","Transformers Prime Jumpchain.pdf")</f>
        <v>Transformers Prime Jumpchain.pdf</v>
      </c>
      <c r="B2602" s="12" t="str">
        <f t="shared" si="204"/>
        <v>Reddit Jumpchain Drive/Completed/Named Folders of Reddit/Transformers</v>
      </c>
    </row>
    <row r="2603">
      <c r="A2603" s="12" t="str">
        <f>HYPERLINK("https://drive.google.com/file/d/1B-abkbDW4824Mh3_JlbNUp0Xf_bV1ZO1/view?usp=drivesdk","Transformers Cybertron.pdf")</f>
        <v>Transformers Cybertron.pdf</v>
      </c>
      <c r="B2603" s="12" t="str">
        <f t="shared" si="204"/>
        <v>Reddit Jumpchain Drive/Completed/Named Folders of Reddit/Transformers</v>
      </c>
    </row>
    <row r="2604">
      <c r="A2604" s="12" t="str">
        <f>HYPERLINK("https://drive.google.com/file/d/1kPQT87JCVs-KINXkUYm2Kt0Spz5whhqt/view?usp=drivesdk","Transformers (Michael Bay) Jump 1.1.pdf")</f>
        <v>Transformers (Michael Bay) Jump 1.1.pdf</v>
      </c>
      <c r="B2604" s="12" t="str">
        <f t="shared" si="204"/>
        <v>Reddit Jumpchain Drive/Completed/Named Folders of Reddit/Transformers</v>
      </c>
    </row>
    <row r="2605">
      <c r="A2605" s="12" t="str">
        <f>HYPERLINK("https://drive.google.com/file/d/16eHP1XKYUO3k1_jx9_h3nkhx4q2Vm8sI/view?usp=drivesdk","Evangelion Supplement V1.1.pdf")</f>
        <v>Evangelion Supplement V1.1.pdf</v>
      </c>
      <c r="B2605" s="12" t="str">
        <f t="shared" ref="B2605:B2606" si="205">HYPERLINK("https://drive.google.com/drive/folders/1TNUMnLNY-MFCHjDrMp7F4PppfczzzZqH","Reddit Jumpchain Drive/Completed/Named Folders of Reddit/Neon Genesis Evangelion")</f>
        <v>Reddit Jumpchain Drive/Completed/Named Folders of Reddit/Neon Genesis Evangelion</v>
      </c>
    </row>
    <row r="2606">
      <c r="A2606" s="12" t="str">
        <f>HYPERLINK("https://drive.google.com/file/d/1yxkkMG_DhScGLFsqbE9jKZ5AAobSagl6/view?usp=drivesdk","Neon Genesis Evangelion_ ANIMA Jump V1.0.pdf")</f>
        <v>Neon Genesis Evangelion_ ANIMA Jump V1.0.pdf</v>
      </c>
      <c r="B2606" s="12" t="str">
        <f t="shared" si="205"/>
        <v>Reddit Jumpchain Drive/Completed/Named Folders of Reddit/Neon Genesis Evangelion</v>
      </c>
    </row>
    <row r="2607">
      <c r="A2607" s="12" t="str">
        <f>HYPERLINK("https://docs.google.com/document/d/1ZcV4NcU0tbIHzz3UiTSVwRdDGL3Yr9nv/edit?usp=drivesdk&amp;ouid=115153177157280896651&amp;rtpof=true&amp;sd=true","Misfit of Demon King Academy Jump Word Doc.docx")</f>
        <v>Misfit of Demon King Academy Jump Word Doc.docx</v>
      </c>
      <c r="B2607" s="12" t="str">
        <f t="shared" ref="B2607:B2609" si="206">HYPERLINK("https://drive.google.com/drive/folders/1-trAhkhhvRuTzdCczek6aIeudrd381Wx","Reddit Jumpchain Drive/Completed/Named Folders of Reddit/Misfit of Demon Academy ")</f>
        <v>Reddit Jumpchain Drive/Completed/Named Folders of Reddit/Misfit of Demon Academy </v>
      </c>
    </row>
    <row r="2608">
      <c r="A2608" s="12" t="str">
        <f>HYPERLINK("https://docs.google.com/document/d/1db7FAwYeH4XrwUBExVjUO9lOYXKQoqHrSAkSyy2OlQ4/edit?usp=drivesdk","Misfit of Demon King Academy Jump Word Doc")</f>
        <v>Misfit of Demon King Academy Jump Word Doc</v>
      </c>
      <c r="B2608" s="12" t="str">
        <f t="shared" si="206"/>
        <v>Reddit Jumpchain Drive/Completed/Named Folders of Reddit/Misfit of Demon Academy </v>
      </c>
    </row>
    <row r="2609">
      <c r="A2609" s="12" t="str">
        <f>HYPERLINK("https://drive.google.com/file/d/1rims2uw31qXuvtHH445I0JPT0zz6uahh/view?usp=drivesdk","Misfit of Demon King Academy Jump.pdf")</f>
        <v>Misfit of Demon King Academy Jump.pdf</v>
      </c>
      <c r="B2609" s="12" t="str">
        <f t="shared" si="206"/>
        <v>Reddit Jumpchain Drive/Completed/Named Folders of Reddit/Misfit of Demon Academy </v>
      </c>
    </row>
    <row r="2610">
      <c r="A2610" s="12" t="str">
        <f>HYPERLINK("https://drive.google.com/file/d/1RhCtsFWWZ1zjTTQkppe65L7LTGzTOFEf/view?usp=drivesdk","Miraculous Ladybug Jumpchain V1.1.pdf")</f>
        <v>Miraculous Ladybug Jumpchain V1.1.pdf</v>
      </c>
      <c r="B2610" s="12" t="str">
        <f>HYPERLINK("https://drive.google.com/drive/folders/1b4B4tO4qPltPo0o5HlS6O3Kv_FGY7ei4","Reddit Jumpchain Drive/Completed/Named Folders of Reddit/Miraculous Ladybug")</f>
        <v>Reddit Jumpchain Drive/Completed/Named Folders of Reddit/Miraculous Ladybug</v>
      </c>
    </row>
    <row r="2611">
      <c r="A2611" s="12" t="str">
        <f>HYPERLINK("https://drive.google.com/file/d/1-daWzyZhzubdsDHN4oknvLlyUpDoOpCV/view?usp=drivesdk","Swat Kats v1.5 (Compressed).pdf")</f>
        <v>Swat Kats v1.5 (Compressed).pdf</v>
      </c>
      <c r="B2611" s="12" t="str">
        <f t="shared" ref="B2611:B2612" si="207">HYPERLINK("https://drive.google.com/drive/folders/1TO9Lk_qH20OjYSU8ZGru3fBbe8Q4fRAO","Reddit Jumpchain Drive/Completed/Named Folders of Reddit/Swat Kats")</f>
        <v>Reddit Jumpchain Drive/Completed/Named Folders of Reddit/Swat Kats</v>
      </c>
    </row>
    <row r="2612">
      <c r="A2612" s="12" t="str">
        <f>HYPERLINK("https://drive.google.com/file/d/1sV0AA2PrH0QoF72QFwrFCV4vG4qzZl6f/view?usp=drivesdk","Swat Kats v1.0 [Compressed].pdf")</f>
        <v>Swat Kats v1.0 [Compressed].pdf</v>
      </c>
      <c r="B2612" s="12" t="str">
        <f t="shared" si="207"/>
        <v>Reddit Jumpchain Drive/Completed/Named Folders of Reddit/Swat Kats</v>
      </c>
    </row>
    <row r="2613">
      <c r="A2613" s="12" t="str">
        <f>HYPERLINK("https://drive.google.com/file/d/1Zism1lmOSYPjtP1cWOwuw-MJj7fr8Reh/view?usp=drivesdk","Monica Adventures Jump V1.0.pdf")</f>
        <v>Monica Adventures Jump V1.0.pdf</v>
      </c>
      <c r="B2613" s="12" t="str">
        <f t="shared" ref="B2613:B2614" si="208">HYPERLINK("https://drive.google.com/drive/folders/1vvOpyI2i81XmXz2-ZXAzlJ1RE603w2at","Reddit Jumpchain Drive/Completed/Named Folders of Reddit/Monica")</f>
        <v>Reddit Jumpchain Drive/Completed/Named Folders of Reddit/Monica</v>
      </c>
    </row>
    <row r="2614">
      <c r="A2614" s="12" t="str">
        <f>HYPERLINK("https://drive.google.com/file/d/1XQN32RDQodRKtMX64ZyZqcTod_lwu0cO/view?usp=drivesdk","Monica Adventures Jump V1.1 (1).pdf")</f>
        <v>Monica Adventures Jump V1.1 (1).pdf</v>
      </c>
      <c r="B2614" s="12" t="str">
        <f t="shared" si="208"/>
        <v>Reddit Jumpchain Drive/Completed/Named Folders of Reddit/Monica</v>
      </c>
    </row>
    <row r="2615">
      <c r="A2615" s="12" t="str">
        <f>HYPERLINK("https://drive.google.com/file/d/1x_rbEMqxGkK4EwzKmTHwigyp0H4xy8xh/view?usp=drivesdk","Rising of the Shield Hero (WN) Jump v1.2.pdf")</f>
        <v>Rising of the Shield Hero (WN) Jump v1.2.pdf</v>
      </c>
      <c r="B2615" s="12" t="str">
        <f t="shared" ref="B2615:B2616" si="209">HYPERLINK("https://drive.google.com/drive/folders/1dY2OXeoGqZsAWGh3yI5nmXyqYOs1yIcd","Reddit Jumpchain Drive/Completed/Named Folders of Reddit/Rising of the Shield Hero")</f>
        <v>Reddit Jumpchain Drive/Completed/Named Folders of Reddit/Rising of the Shield Hero</v>
      </c>
    </row>
    <row r="2616">
      <c r="A2616" s="12" t="str">
        <f>HYPERLINK("https://drive.google.com/file/d/1-2O__7MmjJWchouyiqnqc0o1jaO5CMpD/view?usp=drivesdk","Tate no Yuusha no Nariagari v1.0.pdf")</f>
        <v>Tate no Yuusha no Nariagari v1.0.pdf</v>
      </c>
      <c r="B2616" s="12" t="str">
        <f t="shared" si="209"/>
        <v>Reddit Jumpchain Drive/Completed/Named Folders of Reddit/Rising of the Shield Hero</v>
      </c>
    </row>
    <row r="2617">
      <c r="A2617" s="12" t="str">
        <f>HYPERLINK("https://drive.google.com/file/d/19D4q01_x7DwMSgEalZSZJDb910_vug5Z/view?usp=drivesdk","Library of Ruina Jumpchain_ HamHamPangPang Edition.pdf")</f>
        <v>Library of Ruina Jumpchain_ HamHamPangPang Edition.pdf</v>
      </c>
      <c r="B2617" s="12" t="str">
        <f t="shared" ref="B2617:B2619" si="210">HYPERLINK("https://drive.google.com/drive/folders/1pbkecSRKYsyuatzllMYRmNgPwR70aFEZ","Reddit Jumpchain Drive/Completed/Named Folders of Reddit/Lobotomy Corporation and Library of Ruina")</f>
        <v>Reddit Jumpchain Drive/Completed/Named Folders of Reddit/Lobotomy Corporation and Library of Ruina</v>
      </c>
    </row>
    <row r="2618">
      <c r="A2618" s="12" t="str">
        <f>HYPERLINK("https://drive.google.com/file/d/1-A3a9sX-SDUixf9Lha9JOzdpp1ta8WAD/view?usp=drivesdk","Library of Ruina v1.0.pdf")</f>
        <v>Library of Ruina v1.0.pdf</v>
      </c>
      <c r="B2618" s="12" t="str">
        <f t="shared" si="210"/>
        <v>Reddit Jumpchain Drive/Completed/Named Folders of Reddit/Lobotomy Corporation and Library of Ruina</v>
      </c>
    </row>
    <row r="2619">
      <c r="A2619" s="12" t="str">
        <f>HYPERLINK("https://drive.google.com/file/d/1COxNZ6mVs7M_top4ZBVbiwu3hcYDQ5mf/view?usp=drivesdk","Lobotomy Corporation Jumpchain v1.1.pdf")</f>
        <v>Lobotomy Corporation Jumpchain v1.1.pdf</v>
      </c>
      <c r="B2619" s="12" t="str">
        <f t="shared" si="210"/>
        <v>Reddit Jumpchain Drive/Completed/Named Folders of Reddit/Lobotomy Corporation and Library of Ruina</v>
      </c>
    </row>
    <row r="2620">
      <c r="A2620" s="12" t="str">
        <f>HYPERLINK("https://drive.google.com/file/d/1cWBvxHw_UDUGzMz9aixKwVKOq8-29R_V/view?usp=drivesdk","Left4Dead2JumpV1.pdf")</f>
        <v>Left4Dead2JumpV1.pdf</v>
      </c>
      <c r="B2620" s="12" t="str">
        <f t="shared" ref="B2620:B2621" si="211">HYPERLINK("https://drive.google.com/drive/folders/1wh6vMiAv9zuwNZ3qc-RZYL1SAbbZnBiO","Reddit Jumpchain Drive/Completed/Named Folders of Reddit/Left 4 Dead")</f>
        <v>Reddit Jumpchain Drive/Completed/Named Folders of Reddit/Left 4 Dead</v>
      </c>
    </row>
    <row r="2621">
      <c r="A2621" s="12" t="str">
        <f>HYPERLINK("https://drive.google.com/file/d/1hsNcNqsESutXNUvr-3TKlqxWaeJEvKxg/view?usp=drivesdk","Left 4 Dead [Fixed] 1.1.pdf")</f>
        <v>Left 4 Dead [Fixed] 1.1.pdf</v>
      </c>
      <c r="B2621" s="12" t="str">
        <f t="shared" si="211"/>
        <v>Reddit Jumpchain Drive/Completed/Named Folders of Reddit/Left 4 Dead</v>
      </c>
    </row>
    <row r="2622">
      <c r="A2622" s="12" t="str">
        <f>HYPERLINK("https://drive.google.com/file/d/1HVxXNmdO2efwKRLQ_Zf344BHhxilXYOQ/view?usp=drivesdk","I Hate Fairyland Jump v.2.2.pdf")</f>
        <v>I Hate Fairyland Jump v.2.2.pdf</v>
      </c>
      <c r="B2622" s="12" t="str">
        <f t="shared" ref="B2622:B2624" si="212">HYPERLINK("https://drive.google.com/drive/folders/1CHPIlTEnt74acj2jVFnf7aG6Z-wD8Oj5","Reddit Jumpchain Drive/Completed/Named Folders of Reddit/I Hate Fairyland")</f>
        <v>Reddit Jumpchain Drive/Completed/Named Folders of Reddit/I Hate Fairyland</v>
      </c>
    </row>
    <row r="2623">
      <c r="A2623" s="12" t="str">
        <f>HYPERLINK("https://drive.google.com/file/d/1Lt6tLrZW39vCRagEa2GVoMEZpGHDADFC/view?usp=drivesdk","I Hate Fairyland Jump_compressed.pdf")</f>
        <v>I Hate Fairyland Jump_compressed.pdf</v>
      </c>
      <c r="B2623" s="12" t="str">
        <f t="shared" si="212"/>
        <v>Reddit Jumpchain Drive/Completed/Named Folders of Reddit/I Hate Fairyland</v>
      </c>
    </row>
    <row r="2624">
      <c r="A2624" s="12" t="str">
        <f>HYPERLINK("https://drive.google.com/file/d/1yqnV8qnmXQAZse1p-QfpDDg4x7DVVADI/view?usp=drivesdk","I Hate Fairyland Jump.pdf")</f>
        <v>I Hate Fairyland Jump.pdf</v>
      </c>
      <c r="B2624" s="12" t="str">
        <f t="shared" si="212"/>
        <v>Reddit Jumpchain Drive/Completed/Named Folders of Reddit/I Hate Fairyland</v>
      </c>
    </row>
    <row r="2625">
      <c r="A2625" s="12" t="str">
        <f>HYPERLINK("https://drive.google.com/file/d/1uVl6gWZjOD1Wc06FzCxtmM1Yy7-kWZ-h/view?usp=drivesdk","Monster Hunter World_ Iceborne Jump - Version 2.0.pdf")</f>
        <v>Monster Hunter World_ Iceborne Jump - Version 2.0.pdf</v>
      </c>
      <c r="B2625" s="12" t="str">
        <f t="shared" ref="B2625:B2626" si="213">HYPERLINK("https://drive.google.com/drive/folders/1-2TVDEyzMaOlF2wovOu8zMwdyCjDkbYR","Reddit Jumpchain Drive/Completed/Named Folders of Reddit/Monster Hunter")</f>
        <v>Reddit Jumpchain Drive/Completed/Named Folders of Reddit/Monster Hunter</v>
      </c>
    </row>
    <row r="2626">
      <c r="A2626" s="12" t="str">
        <f>HYPERLINK("https://drive.google.com/file/d/1vtjT46TMX_QJsI3lf6LEOBrKUpkP0Fx1/view?usp=drivesdk","Monster Creator Supplement - Version 2.0 (Iceborne Jump).pdf")</f>
        <v>Monster Creator Supplement - Version 2.0 (Iceborne Jump).pdf</v>
      </c>
      <c r="B2626" s="12" t="str">
        <f t="shared" si="213"/>
        <v>Reddit Jumpchain Drive/Completed/Named Folders of Reddit/Monster Hunter</v>
      </c>
    </row>
    <row r="2627">
      <c r="A2627" s="12" t="str">
        <f>HYPERLINK("https://drive.google.com/file/d/1UEVxbD1xM-Mi24nehtUqho_VsiTiXXXk/view?usp=drivesdk","It’s a Wonderful Life Jumpchain.pdf")</f>
        <v>It’s a Wonderful Life Jumpchain.pdf</v>
      </c>
      <c r="B2627" s="12" t="str">
        <f t="shared" ref="B2627:B2628" si="214">HYPERLINK("https://drive.google.com/drive/folders/1iiGcjPd9s6VEdA8ZSjdH32ZxsRt5iQxR","Reddit Jumpchain Drive/Completed/Named Folders of Reddit/It's a Wonderful Life")</f>
        <v>Reddit Jumpchain Drive/Completed/Named Folders of Reddit/It's a Wonderful Life</v>
      </c>
    </row>
    <row r="2628">
      <c r="A2628" s="12" t="str">
        <f>HYPERLINK("https://docs.google.com/document/d/1xTNTpkOkClQvbf4-G-fIlZFIKNQboW_9/edit?usp=drivesdk&amp;ouid=115153177157280896651&amp;rtpof=true&amp;sd=true","It’s a Wonderful Life Jumpchain.docx")</f>
        <v>It’s a Wonderful Life Jumpchain.docx</v>
      </c>
      <c r="B2628" s="12" t="str">
        <f t="shared" si="214"/>
        <v>Reddit Jumpchain Drive/Completed/Named Folders of Reddit/It's a Wonderful Life</v>
      </c>
    </row>
    <row r="2629">
      <c r="A2629" s="12" t="str">
        <f>HYPERLINK("https://drive.google.com/file/d/1UOm4nRq5B46QASV83H8Yvo-hVFFU5oUz/view?usp=drivesdk","The Wonderful Land of Oz 1.1.pdf")</f>
        <v>The Wonderful Land of Oz 1.1.pdf</v>
      </c>
      <c r="B2629" s="12" t="str">
        <f t="shared" ref="B2629:B2633" si="215">HYPERLINK("https://drive.google.com/drive/folders/1aGiheBVcQkeVLz9oV_aYVV-Jb6Xd3TgE","Reddit Jumpchain Drive/Completed/Named Folders of Reddit/Wizard of Oz")</f>
        <v>Reddit Jumpchain Drive/Completed/Named Folders of Reddit/Wizard of Oz</v>
      </c>
    </row>
    <row r="2630">
      <c r="A2630" s="12" t="str">
        <f>HYPERLINK("https://drive.google.com/file/d/1Hev2Qq-3z20BUzXBRZd6_ZG0uLWUpK1k/view?usp=drivesdk","The Wonderful Land of Oz.pdf")</f>
        <v>The Wonderful Land of Oz.pdf</v>
      </c>
      <c r="B2630" s="12" t="str">
        <f t="shared" si="215"/>
        <v>Reddit Jumpchain Drive/Completed/Named Folders of Reddit/Wizard of Oz</v>
      </c>
    </row>
    <row r="2631">
      <c r="A2631" s="12" t="str">
        <f>HYPERLINK("https://drive.google.com/file/d/12aCbn8Y4ZN1yqAbDfWquHursvfJpfjwd/view?usp=drivesdk","The Wizard of Oz (1939 film) v2.0.pdf")</f>
        <v>The Wizard of Oz (1939 film) v2.0.pdf</v>
      </c>
      <c r="B2631" s="12" t="str">
        <f t="shared" si="215"/>
        <v>Reddit Jumpchain Drive/Completed/Named Folders of Reddit/Wizard of Oz</v>
      </c>
    </row>
    <row r="2632">
      <c r="A2632" s="12" t="str">
        <f>HYPERLINK("https://drive.google.com/file/d/1lH1wpHtN1MewRsAey1NB8HFJwRvh_PEl/view?usp=drivesdk","The Wizard of Oz (1939 film) v1.0 - Commentable.pdf")</f>
        <v>The Wizard of Oz (1939 film) v1.0 - Commentable.pdf</v>
      </c>
      <c r="B2632" s="12" t="str">
        <f t="shared" si="215"/>
        <v>Reddit Jumpchain Drive/Completed/Named Folders of Reddit/Wizard of Oz</v>
      </c>
    </row>
    <row r="2633">
      <c r="A2633" s="12" t="str">
        <f>HYPERLINK("https://drive.google.com/file/d/1yb66t070C201kr7C5RYZcL2toZpJeXtS/view?usp=drivesdk","The Wizard of Oz (1939 film) v1.0.pdf")</f>
        <v>The Wizard of Oz (1939 film) v1.0.pdf</v>
      </c>
      <c r="B2633" s="12" t="str">
        <f t="shared" si="215"/>
        <v>Reddit Jumpchain Drive/Completed/Named Folders of Reddit/Wizard of Oz</v>
      </c>
    </row>
    <row r="2634">
      <c r="A2634" s="12" t="str">
        <f>HYPERLINK("https://drive.google.com/file/d/1pv4mNC3gXyhvhJccALAWxRJWa4Djqzw6/view?usp=drivesdk","Tenchi Muyo! War on Geminar (Isekai no Seikishi Monogatari) - Jumpchain CYOA.pdf")</f>
        <v>Tenchi Muyo! War on Geminar (Isekai no Seikishi Monogatari) - Jumpchain CYOA.pdf</v>
      </c>
      <c r="B2634" s="12" t="str">
        <f>HYPERLINK("https://drive.google.com/drive/folders/1-zbRZFuBWi_Rj-ohxdDoSJbRko_qzgdT","Reddit Jumpchain Drive/Completed/Named Folders of Reddit/Tenchi")</f>
        <v>Reddit Jumpchain Drive/Completed/Named Folders of Reddit/Tenchi</v>
      </c>
    </row>
    <row r="2635">
      <c r="A2635" s="12" t="str">
        <f>HYPERLINK("https://drive.google.com/file/d/1Iypusk6QFoWdEuUNL3juXlHV6-eKsV-X/view?usp=drivesdk","Tekken Redux.pdf")</f>
        <v>Tekken Redux.pdf</v>
      </c>
      <c r="B2635" s="12" t="str">
        <f t="shared" ref="B2635:B2636" si="216">HYPERLINK("https://drive.google.com/drive/folders/1RNAgM0OVbD4lSDWTfeQ9bIrayt-cDX_4","Reddit Jumpchain Drive/Completed/Named Folders of Reddit/Tekken")</f>
        <v>Reddit Jumpchain Drive/Completed/Named Folders of Reddit/Tekken</v>
      </c>
    </row>
    <row r="2636">
      <c r="A2636" s="12" t="str">
        <f>HYPERLINK("https://drive.google.com/file/d/1HJn2p60HMPVY3uTKg8cGLvnnwuRnAiXQ/view?usp=drivesdk","Tekken Jump 1.3.pdf")</f>
        <v>Tekken Jump 1.3.pdf</v>
      </c>
      <c r="B2636" s="12" t="str">
        <f t="shared" si="216"/>
        <v>Reddit Jumpchain Drive/Completed/Named Folders of Reddit/Tekken</v>
      </c>
    </row>
    <row r="2637">
      <c r="A2637" s="12" t="str">
        <f>HYPERLINK("https://drive.google.com/file/d/11V-Vl2FWff3xMCsRrWRhDDy2mf2chJ8k/view?usp=drivesdk","Katana Zero Ammy Edition 1.0.pdf")</f>
        <v>Katana Zero Ammy Edition 1.0.pdf</v>
      </c>
      <c r="B2637" s="12" t="str">
        <f t="shared" ref="B2637:B2638" si="217">HYPERLINK("https://drive.google.com/drive/folders/1lZgRRx0xzLvkksh-I7iGGRBWhP3EjOoG","Reddit Jumpchain Drive/Completed/Named Folders of Reddit/Katana Zero")</f>
        <v>Reddit Jumpchain Drive/Completed/Named Folders of Reddit/Katana Zero</v>
      </c>
    </row>
    <row r="2638">
      <c r="A2638" s="12" t="str">
        <f>HYPERLINK("https://drive.google.com/file/d/1v76TTHkuhMVEu-CZjaUTEl_EI5c3nAQL/view?usp=drivesdk","Katana ZERO JD.pdf")</f>
        <v>Katana ZERO JD.pdf</v>
      </c>
      <c r="B2638" s="12" t="str">
        <f t="shared" si="217"/>
        <v>Reddit Jumpchain Drive/Completed/Named Folders of Reddit/Katana Zero</v>
      </c>
    </row>
    <row r="2639">
      <c r="A2639" s="12" t="str">
        <f>HYPERLINK("https://drive.google.com/file/d/10Q1Egq7FwXqBeofCxO36cAH4pV9t-AV9/view?usp=drivesdk","Ravenwood Power Source Supplement.pdf")</f>
        <v>Ravenwood Power Source Supplement.pdf</v>
      </c>
      <c r="B2639" s="12" t="str">
        <f t="shared" ref="B2639:B2640" si="218">HYPERLINK("https://drive.google.com/drive/folders/1JdkH9xTQoamvFMt-2pnv98djXKQvG7Mx","Reddit Jumpchain Drive/Completed/Named Folders of Reddit/Ravenwood")</f>
        <v>Reddit Jumpchain Drive/Completed/Named Folders of Reddit/Ravenwood</v>
      </c>
    </row>
    <row r="2640">
      <c r="A2640" s="12" t="str">
        <f>HYPERLINK("https://drive.google.com/file/d/1qwGC_VF46MdbDV_unZ1tk3jFQtIKnpr0/view?usp=drivesdk","Ravenwood Jump.pdf")</f>
        <v>Ravenwood Jump.pdf</v>
      </c>
      <c r="B2640" s="12" t="str">
        <f t="shared" si="218"/>
        <v>Reddit Jumpchain Drive/Completed/Named Folders of Reddit/Ravenwood</v>
      </c>
    </row>
    <row r="2641">
      <c r="A2641" s="12" t="str">
        <f>HYPERLINK("https://docs.google.com/document/d/1PPPUE2cs60WqyywNax0rRUxIzPhaL1WZ/edit?usp=drivesdk&amp;ouid=115153177157280896651&amp;rtpof=true&amp;sd=true","Dragonmech Jump Supplement.doc")</f>
        <v>Dragonmech Jump Supplement.doc</v>
      </c>
      <c r="B2641" s="12" t="str">
        <f t="shared" ref="B2641:B2643" si="219">HYPERLINK("https://drive.google.com/drive/folders/1NsRbjC4DmuW4vDN6XkYFTSSAma9bAUqH","Reddit Jumpchain Drive/Completed/Named Folders of Reddit/Dragon Mech")</f>
        <v>Reddit Jumpchain Drive/Completed/Named Folders of Reddit/Dragon Mech</v>
      </c>
    </row>
    <row r="2642">
      <c r="A2642" s="12" t="str">
        <f>HYPERLINK("https://drive.google.com/file/d/1nVXvZvbN45AkMiFsuisgcZLAs97Pw8jX/view?usp=drivesdk","Dragonmech Jump wip .79.docx.pdf")</f>
        <v>Dragonmech Jump wip .79.docx.pdf</v>
      </c>
      <c r="B2642" s="12" t="str">
        <f t="shared" si="219"/>
        <v>Reddit Jumpchain Drive/Completed/Named Folders of Reddit/Dragon Mech</v>
      </c>
    </row>
    <row r="2643">
      <c r="A2643" s="12" t="str">
        <f>HYPERLINK("https://drive.google.com/file/d/1GzkdmljZI9N4IApO_TqEoBf2DfTgeXZE/view?usp=drivesdk","Dragonmech Jump Supplement.doc.pdf")</f>
        <v>Dragonmech Jump Supplement.doc.pdf</v>
      </c>
      <c r="B2643" s="12" t="str">
        <f t="shared" si="219"/>
        <v>Reddit Jumpchain Drive/Completed/Named Folders of Reddit/Dragon Mech</v>
      </c>
    </row>
    <row r="2644">
      <c r="A2644" s="12" t="str">
        <f>HYPERLINK("https://docs.google.com/document/d/1NEwtBScMUnnn-oysc56v4M19bpezUo-Gd_yVk7gwPF4/edit?usp=drivesdk","Germanic_Norse Mythology Jump")</f>
        <v>Germanic_Norse Mythology Jump</v>
      </c>
      <c r="B2644" s="12" t="str">
        <f t="shared" ref="B2644:B2645" si="220">HYPERLINK("https://drive.google.com/drive/folders/1N9TCstBa27nNmxCxCnJ2AR2vUkXXL-1d","Reddit Jumpchain Drive/Completed/Named Folders of Reddit/Mythology")</f>
        <v>Reddit Jumpchain Drive/Completed/Named Folders of Reddit/Mythology</v>
      </c>
    </row>
    <row r="2645">
      <c r="A2645" s="12" t="str">
        <f>HYPERLINK("https://drive.google.com/file/d/141op2264-iINQfG82qCGXITcwdjc5zTy/view?usp=drivesdk","Germanic_Norse Mythology Jump")</f>
        <v>Germanic_Norse Mythology Jump</v>
      </c>
      <c r="B2645" s="12" t="str">
        <f t="shared" si="220"/>
        <v>Reddit Jumpchain Drive/Completed/Named Folders of Reddit/Mythology</v>
      </c>
    </row>
    <row r="2646">
      <c r="A2646" s="12" t="str">
        <f>HYPERLINK("https://drive.google.com/file/d/1Fhv9dOW_nr5wNnzSp-0a6epDxguK4IA9/view?usp=drivesdk","Dragon Ball Z Abridged JumpChain.pdf")</f>
        <v>Dragon Ball Z Abridged JumpChain.pdf</v>
      </c>
      <c r="B2646" s="12" t="str">
        <f t="shared" ref="B2646:B2653" si="221">HYPERLINK("https://drive.google.com/drive/folders/1jJgH7xrjgi_SPmi4IaOCSDwMRsbrmTW3","Reddit Jumpchain Drive/Completed/Named Folders of Reddit/Dragon Ball")</f>
        <v>Reddit Jumpchain Drive/Completed/Named Folders of Reddit/Dragon Ball</v>
      </c>
    </row>
    <row r="2647">
      <c r="A2647" s="12" t="str">
        <f>HYPERLINK("https://drive.google.com/file/d/1b5H97HVPtrEU2Axp97r1Ef44oao4KcEU/view?usp=drivesdk","Dragon Ball FighterZ Jumpchain.pdf")</f>
        <v>Dragon Ball FighterZ Jumpchain.pdf</v>
      </c>
      <c r="B2647" s="12" t="str">
        <f t="shared" si="221"/>
        <v>Reddit Jumpchain Drive/Completed/Named Folders of Reddit/Dragon Ball</v>
      </c>
    </row>
    <row r="2648">
      <c r="A2648" s="12" t="str">
        <f>HYPERLINK("https://drive.google.com/file/d/1qXQcGC7CHzpZd3Q3JR7Fr5CClXHvHThB/view?usp=drivesdk","Generic Dragon Ball Fanfic V1.2.pdf")</f>
        <v>Generic Dragon Ball Fanfic V1.2.pdf</v>
      </c>
      <c r="B2648" s="12" t="str">
        <f t="shared" si="221"/>
        <v>Reddit Jumpchain Drive/Completed/Named Folders of Reddit/Dragon Ball</v>
      </c>
    </row>
    <row r="2649">
      <c r="A2649" s="12" t="str">
        <f>HYPERLINK("https://drive.google.com/file/d/1_ESdsZ8avzFvZx3105a2zpzEvkmwymoz/view?usp=drivesdk","DevilArtemis Cell Vs. Jumpchain.pdf")</f>
        <v>DevilArtemis Cell Vs. Jumpchain.pdf</v>
      </c>
      <c r="B2649" s="12" t="str">
        <f t="shared" si="221"/>
        <v>Reddit Jumpchain Drive/Completed/Named Folders of Reddit/Dragon Ball</v>
      </c>
    </row>
    <row r="2650">
      <c r="A2650" s="12" t="str">
        <f>HYPERLINK("https://drive.google.com/file/d/1kj5iLy-92yc0Aq0I8Nux57_2QiHpWKc6/view?usp=drivesdk","Generic Dragon Ball Fanfic V1.1.pdf")</f>
        <v>Generic Dragon Ball Fanfic V1.1.pdf</v>
      </c>
      <c r="B2650" s="12" t="str">
        <f t="shared" si="221"/>
        <v>Reddit Jumpchain Drive/Completed/Named Folders of Reddit/Dragon Ball</v>
      </c>
    </row>
    <row r="2651">
      <c r="A2651" s="12" t="str">
        <f>HYPERLINK("https://drive.google.com/file/d/1TyZ2HTmOV_XPqqZ1egKgqMajjh3dimkB/view?usp=drivesdk","Dragon Ball FighterZ Jumpchain.pdf")</f>
        <v>Dragon Ball FighterZ Jumpchain.pdf</v>
      </c>
      <c r="B2651" s="12" t="str">
        <f t="shared" si="221"/>
        <v>Reddit Jumpchain Drive/Completed/Named Folders of Reddit/Dragon Ball</v>
      </c>
    </row>
    <row r="2652">
      <c r="A2652" s="12" t="str">
        <f>HYPERLINK("https://drive.google.com/file/d/1xg7jYpV7blhFMW5GO61xARTLmafyaUEV/view?usp=drivesdk","Dragon Ball Fu Final.pdf")</f>
        <v>Dragon Ball Fu Final.pdf</v>
      </c>
      <c r="B2652" s="12" t="str">
        <f t="shared" si="221"/>
        <v>Reddit Jumpchain Drive/Completed/Named Folders of Reddit/Dragon Ball</v>
      </c>
    </row>
    <row r="2653">
      <c r="A2653" s="12" t="str">
        <f>HYPERLINK("https://drive.google.com/file/d/10edaup9L4csQ_7BfowAG1MbhNqKIpmB0/view?usp=drivesdk","Dragon Ball Heroes Jump.pdf")</f>
        <v>Dragon Ball Heroes Jump.pdf</v>
      </c>
      <c r="B2653" s="12" t="str">
        <f t="shared" si="221"/>
        <v>Reddit Jumpchain Drive/Completed/Named Folders of Reddit/Dragon Ball</v>
      </c>
    </row>
    <row r="2654">
      <c r="A2654" s="12" t="str">
        <f>HYPERLINK("https://drive.google.com/file/d/13T5xfRMBz-9cVmL9WCOUMjSOYiPIbyX2/view?usp=drivesdk","Dragon_Sword_1.0_Jumpchain.pdf")</f>
        <v>Dragon_Sword_1.0_Jumpchain.pdf</v>
      </c>
      <c r="B2654" s="12" t="str">
        <f t="shared" ref="B2654:B2656" si="222">HYPERLINK("https://drive.google.com/drive/folders/1FZ488clryAM-hkXGoNPBy5MqnIgOsEoj","Reddit Jumpchain Drive/Completed/Named Folders of Reddit/Dragon Sword")</f>
        <v>Reddit Jumpchain Drive/Completed/Named Folders of Reddit/Dragon Sword</v>
      </c>
    </row>
    <row r="2655">
      <c r="A2655" s="12" t="str">
        <f>HYPERLINK("https://drive.google.com/file/d/1BAI44lFggkd2i2AB6V7xSmsA3O_cd2g1/view?usp=drivesdk","Dragon_Sword_1.3_Jumpchain.pdf")</f>
        <v>Dragon_Sword_1.3_Jumpchain.pdf</v>
      </c>
      <c r="B2655" s="12" t="str">
        <f t="shared" si="222"/>
        <v>Reddit Jumpchain Drive/Completed/Named Folders of Reddit/Dragon Sword</v>
      </c>
    </row>
    <row r="2656">
      <c r="A2656" s="12" t="str">
        <f>HYPERLINK("https://drive.google.com/file/d/1oJSlMsrTUEPzk21vwvnPbuh-U-K-QQbE/view?usp=drivesdk","Dragon_Sword_1.2_Jumpchain.pdf")</f>
        <v>Dragon_Sword_1.2_Jumpchain.pdf</v>
      </c>
      <c r="B2656" s="12" t="str">
        <f t="shared" si="222"/>
        <v>Reddit Jumpchain Drive/Completed/Named Folders of Reddit/Dragon Sword</v>
      </c>
    </row>
    <row r="2657">
      <c r="A2657" s="12" t="str">
        <f>HYPERLINK("https://drive.google.com/file/d/11K2cSivgfn_b8AZmW2eBcAxBXeZppUjD/view?usp=drivesdk","Slay The Spire Downfall")</f>
        <v>Slay The Spire Downfall</v>
      </c>
      <c r="B2657" s="12" t="str">
        <f t="shared" ref="B2657:B2658" si="223">HYPERLINK("https://drive.google.com/drive/folders/1jb7Got6CARihHtNNKVkQcYRpCK3MmRFQ","Reddit Jumpchain Drive/Completed/Named Folders of Reddit/Slay The Spire")</f>
        <v>Reddit Jumpchain Drive/Completed/Named Folders of Reddit/Slay The Spire</v>
      </c>
    </row>
    <row r="2658">
      <c r="A2658" s="12" t="str">
        <f>HYPERLINK("https://drive.google.com/file/d/1X5d9I0gGhZQlDnX1JGJZqTbz9ZqThuJq/view?usp=drivesdk","Slay The Spire (Abhorsen_Anon version)")</f>
        <v>Slay The Spire (Abhorsen_Anon version)</v>
      </c>
      <c r="B2658" s="12" t="str">
        <f t="shared" si="223"/>
        <v>Reddit Jumpchain Drive/Completed/Named Folders of Reddit/Slay The Spire</v>
      </c>
    </row>
    <row r="2659">
      <c r="A2659" s="12" t="str">
        <f>HYPERLINK("https://drive.google.com/file/d/1ecxAjAjjEwIA0xlPTIZ98FTS77eIwP5a/view?usp=drivesdk","Slay The Spire - Vanilla (Abhorsen_Anon version).pdf")</f>
        <v>Slay The Spire - Vanilla (Abhorsen_Anon version).pdf</v>
      </c>
      <c r="B2659" s="12" t="str">
        <f t="shared" ref="B2659:B2660" si="224">HYPERLINK("https://drive.google.com/drive/folders/13CGbW1dOo3JjzXA52eciWqwtSQU4GIHQ","Reddit Jumpchain Drive/Completed/Named Folders of Reddit/Slay The Spire/Previous Version")</f>
        <v>Reddit Jumpchain Drive/Completed/Named Folders of Reddit/Slay The Spire/Previous Version</v>
      </c>
    </row>
    <row r="2660">
      <c r="A2660" s="12" t="str">
        <f>HYPERLINK("https://drive.google.com/file/d/1kqEA61y0nlPpR63AgwdWjXq7e6t1lKgJ/view?usp=drivesdk","Slay the Spire Downfall.pdf")</f>
        <v>Slay the Spire Downfall.pdf</v>
      </c>
      <c r="B2660" s="12" t="str">
        <f t="shared" si="224"/>
        <v>Reddit Jumpchain Drive/Completed/Named Folders of Reddit/Slay The Spire/Previous Version</v>
      </c>
    </row>
    <row r="2661">
      <c r="A2661" s="12" t="str">
        <f>HYPERLINK("https://drive.google.com/file/d/1iX-adEiTNS0u1VEkNx3bCAqEwfTcyAWW/view?usp=drivesdk","Sonic's Quest For Power.pdf")</f>
        <v>Sonic's Quest For Power.pdf</v>
      </c>
      <c r="B2661" s="12" t="str">
        <f t="shared" ref="B2661:B2663" si="225">HYPERLINK("https://drive.google.com/drive/folders/1mJN9rFtsr1T3j6dqa8I8s4b-PAjo9DUB","Reddit Jumpchain Drive/Completed/Named Folders of Reddit/Megaman")</f>
        <v>Reddit Jumpchain Drive/Completed/Named Folders of Reddit/Megaman</v>
      </c>
    </row>
    <row r="2662">
      <c r="A2662" s="12" t="str">
        <f>HYPERLINK("https://drive.google.com/file/d/1ZHyXuB7KYt6wX_7YBLY7TWoNSkAcJQIs/view?usp=drivesdk","Megaman Star Force JumpChain.pdf")</f>
        <v>Megaman Star Force JumpChain.pdf</v>
      </c>
      <c r="B2662" s="12" t="str">
        <f t="shared" si="225"/>
        <v>Reddit Jumpchain Drive/Completed/Named Folders of Reddit/Megaman</v>
      </c>
    </row>
    <row r="2663">
      <c r="A2663" s="12" t="str">
        <f>HYPERLINK("https://drive.google.com/file/d/1vHLKUyzbYrpZ2zG2h_cRcxXURAUwwAgw/view?usp=drivesdk","Megaman ZX.pdf")</f>
        <v>Megaman ZX.pdf</v>
      </c>
      <c r="B2663" s="12" t="str">
        <f t="shared" si="225"/>
        <v>Reddit Jumpchain Drive/Completed/Named Folders of Reddit/Megaman</v>
      </c>
    </row>
    <row r="2664">
      <c r="A2664" s="12" t="str">
        <f>HYPERLINK("https://drive.google.com/file/d/1CuHi2K3gHizQu70HBKJSgmGzVA7aFO_5/view?usp=drivesdk","The Blob (1988) Jump.pdf")</f>
        <v>The Blob (1988) Jump.pdf</v>
      </c>
      <c r="B2664" s="12" t="str">
        <f t="shared" ref="B2664:B2665" si="226">HYPERLINK("https://drive.google.com/drive/folders/10eNQdWn7UXLKXskp5JnKmU1dvGVj-pEr","Reddit Jumpchain Drive/Completed/Named Folders of Reddit/The Blob")</f>
        <v>Reddit Jumpchain Drive/Completed/Named Folders of Reddit/The Blob</v>
      </c>
    </row>
    <row r="2665">
      <c r="A2665" s="12" t="str">
        <f>HYPERLINK("https://docs.google.com/document/d/1Ho5-Y7XEoJJPUdRb9imv9kdn5QFriTTo/edit?usp=drivesdk&amp;ouid=115153177157280896651&amp;rtpof=true&amp;sd=true","The Blob (1988) Jump.docx")</f>
        <v>The Blob (1988) Jump.docx</v>
      </c>
      <c r="B2665" s="12" t="str">
        <f t="shared" si="226"/>
        <v>Reddit Jumpchain Drive/Completed/Named Folders of Reddit/The Blob</v>
      </c>
    </row>
    <row r="2666">
      <c r="A2666" s="12" t="str">
        <f>HYPERLINK("https://docs.google.com/document/d/1GjgsjSTf0AjybkCfdpzfrwTP11ESlZlaS0KRD7wgl-I/edit?usp=drivesdk","Guyver and Zoaform Customization Supplement V1.0")</f>
        <v>Guyver and Zoaform Customization Supplement V1.0</v>
      </c>
      <c r="B2666" s="12" t="str">
        <f t="shared" ref="B2666:B2669" si="227">HYPERLINK("https://drive.google.com/drive/folders/1sIQmX4YQBSV40EsSeRI-IDbEC_-qXqnt","Reddit Jumpchain Drive/Completed/Named Folders of Reddit/Guyver")</f>
        <v>Reddit Jumpchain Drive/Completed/Named Folders of Reddit/Guyver</v>
      </c>
    </row>
    <row r="2667">
      <c r="A2667" s="12" t="str">
        <f>HYPERLINK("https://docs.google.com/document/d/1nZwfjLkhOEWobucRP2-Cvw52vWXlIY1xhfGaks4IDzU/edit?usp=drivesdk","Guyver Jumpchain V1.0")</f>
        <v>Guyver Jumpchain V1.0</v>
      </c>
      <c r="B2667" s="12" t="str">
        <f t="shared" si="227"/>
        <v>Reddit Jumpchain Drive/Completed/Named Folders of Reddit/Guyver</v>
      </c>
    </row>
    <row r="2668">
      <c r="A2668" s="12" t="str">
        <f>HYPERLINK("https://drive.google.com/file/d/1w3pfwWIZZNtcD6FCybBk8m9UAiG9ocEU/view?usp=drivesdk","Guyver and Zoaform Customization Supplement V1.0.pdf")</f>
        <v>Guyver and Zoaform Customization Supplement V1.0.pdf</v>
      </c>
      <c r="B2668" s="12" t="str">
        <f t="shared" si="227"/>
        <v>Reddit Jumpchain Drive/Completed/Named Folders of Reddit/Guyver</v>
      </c>
    </row>
    <row r="2669">
      <c r="A2669" s="12" t="str">
        <f>HYPERLINK("https://drive.google.com/file/d/18q6tREMiHTCG4vuBICypWlWztvhgfTiG/view?usp=drivesdk","Guyver Jumpchain V1.0.pdf")</f>
        <v>Guyver Jumpchain V1.0.pdf</v>
      </c>
      <c r="B2669" s="12" t="str">
        <f t="shared" si="227"/>
        <v>Reddit Jumpchain Drive/Completed/Named Folders of Reddit/Guyver</v>
      </c>
    </row>
    <row r="2670">
      <c r="A2670" s="12" t="str">
        <f>HYPERLINK("https://drive.google.com/file/d/1XJcqFjUlLjaIE_h7wJjsRoh-P8j_Sn4w/view?usp=drivesdk","Undertale Multiverse Jump.pdf")</f>
        <v>Undertale Multiverse Jump.pdf</v>
      </c>
      <c r="B2670" s="12" t="str">
        <f t="shared" ref="B2670:B2673" si="228">HYPERLINK("https://drive.google.com/drive/folders/1nV-U1k30E4uG8FZ8S0X3_SA3v0EvVcoy","Reddit Jumpchain Drive/Completed/Named Folders of Reddit/Undertale")</f>
        <v>Reddit Jumpchain Drive/Completed/Named Folders of Reddit/Undertale</v>
      </c>
    </row>
    <row r="2671">
      <c r="A2671" s="12" t="str">
        <f>HYPERLINK("https://drive.google.com/file/d/1Ceg-EnmkDXhfhyGNv1JTJqa7O7aiSFxO/view?usp=drivesdk","_Undertale Multiverse Jump.pdf")</f>
        <v>_Undertale Multiverse Jump.pdf</v>
      </c>
      <c r="B2671" s="12" t="str">
        <f t="shared" si="228"/>
        <v>Reddit Jumpchain Drive/Completed/Named Folders of Reddit/Undertale</v>
      </c>
    </row>
    <row r="2672">
      <c r="A2672" s="12" t="str">
        <f>HYPERLINK("https://drive.google.com/file/d/1vROb1U19WfHq4zA-K6vNiH8ilWZQdgzz/view?usp=drivesdk","Glitchtale Jump V1.1.pdf")</f>
        <v>Glitchtale Jump V1.1.pdf</v>
      </c>
      <c r="B2672" s="12" t="str">
        <f t="shared" si="228"/>
        <v>Reddit Jumpchain Drive/Completed/Named Folders of Reddit/Undertale</v>
      </c>
    </row>
    <row r="2673">
      <c r="A2673" s="12" t="str">
        <f>HYPERLINK("https://drive.google.com/file/d/1gYt-WYSc-WRawnX-QmwnEo0LUk3KuXHg/view?usp=drivesdk","Glitchtale Jump V1.0")</f>
        <v>Glitchtale Jump V1.0</v>
      </c>
      <c r="B2673" s="12" t="str">
        <f t="shared" si="228"/>
        <v>Reddit Jumpchain Drive/Completed/Named Folders of Reddit/Undertale</v>
      </c>
    </row>
    <row r="2674">
      <c r="A2674" s="12" t="str">
        <f>HYPERLINK("https://drive.google.com/file/d/1Thz_iYEiCuwZ5JfDjkAwGRO_ow04zGXw/view?usp=drivesdk","Air Gear 1.1 Black By hermit1397.pdf")</f>
        <v>Air Gear 1.1 Black By hermit1397.pdf</v>
      </c>
      <c r="B2674" s="12" t="str">
        <f t="shared" ref="B2674:B2675" si="229">HYPERLINK("https://drive.google.com/drive/folders/1t3D6_CbN4wiZ90sNQs9tpzV8ZuWJhxBL","Reddit Jumpchain Drive/Completed/Named Folders of Reddit/Air Gear")</f>
        <v>Reddit Jumpchain Drive/Completed/Named Folders of Reddit/Air Gear</v>
      </c>
    </row>
    <row r="2675">
      <c r="A2675" s="12" t="str">
        <f>HYPERLINK("https://drive.google.com/file/d/1VAtxrRIek3LSQmz_UWGNeYuJqu9M4EhG/view?usp=drivesdk","Air Gear 1.1 By hermit1397.pdf")</f>
        <v>Air Gear 1.1 By hermit1397.pdf</v>
      </c>
      <c r="B2675" s="12" t="str">
        <f t="shared" si="229"/>
        <v>Reddit Jumpchain Drive/Completed/Named Folders of Reddit/Air Gear</v>
      </c>
    </row>
    <row r="2676">
      <c r="A2676" s="12" t="str">
        <f>HYPERLINK("https://drive.google.com/file/d/1gV-4ccDovN0sqfmNq95Lp6WDpIUpcyRP/view?usp=drivesdk","Pale.pdf")</f>
        <v>Pale.pdf</v>
      </c>
      <c r="B2676" s="12" t="str">
        <f t="shared" ref="B2676:B2678" si="230">HYPERLINK("https://drive.google.com/drive/folders/1JgOk2WSgGDOTtKNCvWt0iDAD23a-918N","Reddit Jumpchain Drive/Completed/Named Folders of Reddit/Pale")</f>
        <v>Reddit Jumpchain Drive/Completed/Named Folders of Reddit/Pale</v>
      </c>
    </row>
    <row r="2677">
      <c r="A2677" s="12" t="str">
        <f>HYPERLINK("https://docs.google.com/document/d/1yEeZPQNIycwh9nDE7oV0IPkkqDKzBAA3LWQ7S6x9qs0/edit?usp=drivesdk","Pale Jumpchain 1.5")</f>
        <v>Pale Jumpchain 1.5</v>
      </c>
      <c r="B2677" s="12" t="str">
        <f t="shared" si="230"/>
        <v>Reddit Jumpchain Drive/Completed/Named Folders of Reddit/Pale</v>
      </c>
    </row>
    <row r="2678">
      <c r="A2678" s="12" t="str">
        <f>HYPERLINK("https://drive.google.com/file/d/1rGy-xlPRjrFj2Hyz3kqxJwNEOkfrt0WE/view?usp=drivesdk","Pale Jumpchain 1.5.pdf")</f>
        <v>Pale Jumpchain 1.5.pdf</v>
      </c>
      <c r="B2678" s="12" t="str">
        <f t="shared" si="230"/>
        <v>Reddit Jumpchain Drive/Completed/Named Folders of Reddit/Pale</v>
      </c>
    </row>
    <row r="2679">
      <c r="A2679" s="12" t="str">
        <f>HYPERLINK("https://drive.google.com/file/d/1yqVlGt__Soajk4t0nILqHjxBxnWh40QI/view?usp=drivesdk","Forsaken Sword Legacies Jumpchain.pdf")</f>
        <v>Forsaken Sword Legacies Jumpchain.pdf</v>
      </c>
      <c r="B2679" s="12" t="str">
        <f t="shared" ref="B2679:B2680" si="231">HYPERLINK("https://drive.google.com/drive/folders/14IQ_U2cUq9aGq3vCtC5x3_1XWVTREriD","Reddit Jumpchain Drive/Completed/Named Folders of Reddit/Roblox")</f>
        <v>Reddit Jumpchain Drive/Completed/Named Folders of Reddit/Roblox</v>
      </c>
    </row>
    <row r="2680">
      <c r="A2680" s="12" t="str">
        <f>HYPERLINK("https://drive.google.com/file/d/17yJFfmnXxSF3ZWTGydXaHhkEKM3tnDdX/view?usp=drivesdk","The Mimic (Book I) Jumpchain.pdf")</f>
        <v>The Mimic (Book I) Jumpchain.pdf</v>
      </c>
      <c r="B2680" s="12" t="str">
        <f t="shared" si="231"/>
        <v>Reddit Jumpchain Drive/Completed/Named Folders of Reddit/Roblox</v>
      </c>
    </row>
    <row r="2681">
      <c r="A2681" s="12" t="str">
        <f>HYPERLINK("https://docs.google.com/document/d/1vJPjMYBMEJZsoR4B5bD49y85vsKI4xWN7RneuayaN_4/edit?usp=drivesdk","Diablo 3 Jump")</f>
        <v>Diablo 3 Jump</v>
      </c>
      <c r="B2681" s="12" t="str">
        <f t="shared" ref="B2681:B2683" si="232">HYPERLINK("https://drive.google.com/drive/folders/1H52LT0C94feJ7Gw0WwRNkNtVboZpWRJm","Reddit Jumpchain Drive/Completed/Named Folders of Reddit/Diablo")</f>
        <v>Reddit Jumpchain Drive/Completed/Named Folders of Reddit/Diablo</v>
      </c>
    </row>
    <row r="2682">
      <c r="A2682" s="12" t="str">
        <f>HYPERLINK("https://drive.google.com/file/d/1QzHiLUlw3JD_jDsx_qSQxAB60YwDdmcB/view?usp=drivesdk","Diablo 3 Jump V1.12.pdf")</f>
        <v>Diablo 3 Jump V1.12.pdf</v>
      </c>
      <c r="B2682" s="12" t="str">
        <f t="shared" si="232"/>
        <v>Reddit Jumpchain Drive/Completed/Named Folders of Reddit/Diablo</v>
      </c>
    </row>
    <row r="2683">
      <c r="A2683" s="12" t="str">
        <f>HYPERLINK("https://drive.google.com/file/d/1-5-uAMDbp58ihteP7HwMMW9VoEyeeADw/view?usp=drivesdk","Diablo 3 Jump.pdf")</f>
        <v>Diablo 3 Jump.pdf</v>
      </c>
      <c r="B2683" s="12" t="str">
        <f t="shared" si="232"/>
        <v>Reddit Jumpchain Drive/Completed/Named Folders of Reddit/Diablo</v>
      </c>
    </row>
    <row r="2684">
      <c r="A2684" s="12" t="str">
        <f>HYPERLINK("https://drive.google.com/file/d/1hxyavJMMWNdK-m1hHH_yiMgCXEKvM_M_/view?usp=drivesdk","Fallout Equestria Jumpchain.pdf")</f>
        <v>Fallout Equestria Jumpchain.pdf</v>
      </c>
      <c r="B2684" s="12" t="str">
        <f t="shared" ref="B2684:B2685" si="233">HYPERLINK("https://drive.google.com/drive/folders/1Axx5PxUGbsw0NYEATdZ2zBmGKMtL8U6W","Reddit Jumpchain Drive/Completed/Named Folders of Reddit/Fallout")</f>
        <v>Reddit Jumpchain Drive/Completed/Named Folders of Reddit/Fallout</v>
      </c>
    </row>
    <row r="2685">
      <c r="A2685" s="12" t="str">
        <f>HYPERLINK("https://drive.google.com/file/d/10Na1qto9VC1yvoP3iAZvLnR5JaJfq5XT/view?usp=drivesdk","Fallout Series Jumpchain.pdf")</f>
        <v>Fallout Series Jumpchain.pdf</v>
      </c>
      <c r="B2685" s="12" t="str">
        <f t="shared" si="233"/>
        <v>Reddit Jumpchain Drive/Completed/Named Folders of Reddit/Fallout</v>
      </c>
    </row>
    <row r="2686">
      <c r="A2686" s="12" t="str">
        <f>HYPERLINK("https://drive.google.com/file/d/1ZC4NySYZ0252fmmzOGGZI0d6OrXxKeUG/view?usp=drivesdk","Kamen rider Hibiki.pdf")</f>
        <v>Kamen rider Hibiki.pdf</v>
      </c>
      <c r="B2686" s="12" t="str">
        <f t="shared" ref="B2686:B2688" si="234">HYPERLINK("https://drive.google.com/drive/folders/1bGTEuJjVdy8LZoYQrA2fNpaz64s2-CMP","Reddit Jumpchain Drive/Completed/Named Folders of Reddit/Kamen Rider")</f>
        <v>Reddit Jumpchain Drive/Completed/Named Folders of Reddit/Kamen Rider</v>
      </c>
    </row>
    <row r="2687">
      <c r="A2687" s="12" t="str">
        <f>HYPERLINK("https://drive.google.com/file/d/113rZybjAVchGqsTeDAS7oH5TC7PbgDRl/view?usp=drivesdk","Kamen Rider Faiz Jumpchain 1.5.pdf")</f>
        <v>Kamen Rider Faiz Jumpchain 1.5.pdf</v>
      </c>
      <c r="B2687" s="12" t="str">
        <f t="shared" si="234"/>
        <v>Reddit Jumpchain Drive/Completed/Named Folders of Reddit/Kamen Rider</v>
      </c>
    </row>
    <row r="2688">
      <c r="A2688" s="12" t="str">
        <f>HYPERLINK("https://drive.google.com/file/d/1q-sQW7ycoZKJwEsOZlkDo0tl0MonF4CL/view?usp=drivesdk","Kamen Rider world of negatives.pdf")</f>
        <v>Kamen Rider world of negatives.pdf</v>
      </c>
      <c r="B2688" s="12" t="str">
        <f t="shared" si="234"/>
        <v>Reddit Jumpchain Drive/Completed/Named Folders of Reddit/Kamen Rider</v>
      </c>
    </row>
    <row r="2689">
      <c r="A2689" s="12" t="str">
        <f>HYPERLINK("https://drive.google.com/file/d/13xXR3HNqRFhAfHYouItng11B8psgpKkS/view?usp=drivesdk","SCP Foundation v1.4.pdf")</f>
        <v>SCP Foundation v1.4.pdf</v>
      </c>
      <c r="B2689" s="12" t="str">
        <f t="shared" ref="B2689:B2691" si="235">HYPERLINK("https://drive.google.com/drive/folders/1rbl1WZCGJOEmTFT5DW9vMmfGHmt6-igw","Reddit Jumpchain Drive/Completed/Named Folders of Reddit/SCP")</f>
        <v>Reddit Jumpchain Drive/Completed/Named Folders of Reddit/SCP</v>
      </c>
    </row>
    <row r="2690">
      <c r="A2690" s="12" t="str">
        <f>HYPERLINK("https://drive.google.com/file/d/1hBFv5Cp2y5e_YY38UwAQsHnWzZWFCIzN/view?usp=drivesdk","SCP Universe Jumpchain v2.1.pdf")</f>
        <v>SCP Universe Jumpchain v2.1.pdf</v>
      </c>
      <c r="B2690" s="12" t="str">
        <f t="shared" si="235"/>
        <v>Reddit Jumpchain Drive/Completed/Named Folders of Reddit/SCP</v>
      </c>
    </row>
    <row r="2691">
      <c r="A2691" s="12" t="str">
        <f>HYPERLINK("https://drive.google.com/file/d/1BjMcUcNn182oHROA3tTTHJgztILQrclV/view?usp=drivesdk","SCP - WAR OF THE SCARLET KING")</f>
        <v>SCP - WAR OF THE SCARLET KING</v>
      </c>
      <c r="B2691" s="12" t="str">
        <f t="shared" si="235"/>
        <v>Reddit Jumpchain Drive/Completed/Named Folders of Reddit/SCP</v>
      </c>
    </row>
    <row r="2692">
      <c r="A2692" s="12" t="str">
        <f>HYPERLINK("https://drive.google.com/file/d/10iEbI0jsTKQ0sVg3Wr8VGkGp6HFh29Qa/view?usp=drivesdk","South Park Jumpchain.pdf")</f>
        <v>South Park Jumpchain.pdf</v>
      </c>
      <c r="B2692" s="12" t="str">
        <f>HYPERLINK("https://drive.google.com/drive/folders/1dqyHcgjr_g3F9-mkJpeUOOqCZpX1pYrr","Reddit Jumpchain Drive/Completed/Named Folders of Reddit/South Park")</f>
        <v>Reddit Jumpchain Drive/Completed/Named Folders of Reddit/South Park</v>
      </c>
    </row>
    <row r="2693">
      <c r="A2693" s="12" t="str">
        <f>HYPERLINK("https://drive.google.com/file/d/1M7u3dfHGLpcnvLg2A_2FCbc_L4OxoSCc/view?usp=drivesdk","Fire Emblem 9-10 Jumpchain 1.5")</f>
        <v>Fire Emblem 9-10 Jumpchain 1.5</v>
      </c>
      <c r="B2693" s="12" t="str">
        <f>HYPERLINK("https://drive.google.com/drive/folders/1OlTI4xm90nY0Rd5yEFtbYiygOCXss5Wf","Reddit Jumpchain Drive/Completed/Named Folders of Reddit/Fire Emblem")</f>
        <v>Reddit Jumpchain Drive/Completed/Named Folders of Reddit/Fire Emblem</v>
      </c>
    </row>
    <row r="2694">
      <c r="A2694" s="12" t="str">
        <f>HYPERLINK("https://docs.google.com/document/d/1AFSmIsKsGfm6yOpz_7e84_lTyRqqd-0dPqd-l5DzkYw/edit?usp=drivesdk","Garry’s Mod Jump")</f>
        <v>Garry’s Mod Jump</v>
      </c>
      <c r="B2694" s="12" t="str">
        <f t="shared" ref="B2694:B2696" si="236">HYPERLINK("https://drive.google.com/drive/folders/1ehODkhKWxgPoKaJG8UvQDqTRlaUad7ei","Reddit Jumpchain Drive/Completed/Named Folders of Reddit/Gmod")</f>
        <v>Reddit Jumpchain Drive/Completed/Named Folders of Reddit/Gmod</v>
      </c>
    </row>
    <row r="2695">
      <c r="A2695" s="12" t="str">
        <f>HYPERLINK("https://drive.google.com/file/d/1h4zQaptqwpu_X3tswuPbbrK0Skso6KuM/view?usp=drivesdk","Garry’s Mod Jump.pdf")</f>
        <v>Garry’s Mod Jump.pdf</v>
      </c>
      <c r="B2695" s="12" t="str">
        <f t="shared" si="236"/>
        <v>Reddit Jumpchain Drive/Completed/Named Folders of Reddit/Gmod</v>
      </c>
    </row>
    <row r="2696">
      <c r="A2696" s="12" t="str">
        <f>HYPERLINK("https://drive.google.com/file/d/11wJQO3wX1pzykrWMwaD9kGHxiMoJfhPc/view?usp=drivesdk","Garry’s Mod Jump.pdf")</f>
        <v>Garry’s Mod Jump.pdf</v>
      </c>
      <c r="B2696" s="12" t="str">
        <f t="shared" si="236"/>
        <v>Reddit Jumpchain Drive/Completed/Named Folders of Reddit/Gmod</v>
      </c>
    </row>
    <row r="2697">
      <c r="A2697" s="12" t="str">
        <f>HYPERLINK("https://drive.google.com/file/d/1ap-nqqp6HuXVnZwVBeckdLb5AmVh9Rg7/view?usp=drivesdk","SMG4.pdf")</f>
        <v>SMG4.pdf</v>
      </c>
      <c r="B2697" s="12" t="str">
        <f t="shared" ref="B2697:B2698" si="237">HYPERLINK("https://drive.google.com/drive/folders/1WOHNuZR3fijw1e2dg_gb3cixsgy_4jbZ","Reddit Jumpchain Drive/Completed/Named Folders of Reddit/Mario")</f>
        <v>Reddit Jumpchain Drive/Completed/Named Folders of Reddit/Mario</v>
      </c>
    </row>
    <row r="2698">
      <c r="A2698" s="12" t="str">
        <f>HYPERLINK("https://drive.google.com/file/d/1IKYwjXZMaHZDkVCvtAFNxm1Sjr6oGlD_/view?usp=drivesdk","Mario &amp; Luigi Jump + Minion Quest")</f>
        <v>Mario &amp; Luigi Jump + Minion Quest</v>
      </c>
      <c r="B2698" s="12" t="str">
        <f t="shared" si="237"/>
        <v>Reddit Jumpchain Drive/Completed/Named Folders of Reddit/Mario</v>
      </c>
    </row>
    <row r="2699">
      <c r="A2699" s="12" t="str">
        <f>HYPERLINK("https://drive.google.com/file/d/1CTfmAatC0h-ehJK21OXyIllitcx33XLc/view?usp=drivesdk","24 - MNCHFcJ.jpg")</f>
        <v>24 - MNCHFcJ.jpg</v>
      </c>
      <c r="B2699" s="12" t="str">
        <f t="shared" ref="B2699:B2722" si="238">HYPERLINK("https://drive.google.com/drive/folders/1bDBjsDFoyue70eOjUyQsIeJhn4UGm7BE","Reddit Jumpchain Drive/Completed/Named Folders of Reddit/Devil is a Part Timer")</f>
        <v>Reddit Jumpchain Drive/Completed/Named Folders of Reddit/Devil is a Part Timer</v>
      </c>
    </row>
    <row r="2700">
      <c r="A2700" s="12" t="str">
        <f>HYPERLINK("https://drive.google.com/file/d/1CvojFz7lF1KMpam6GCrSMvoU8LUxWtqD/view?usp=drivesdk","23 - HRw7oDZ.jpg")</f>
        <v>23 - HRw7oDZ.jpg</v>
      </c>
      <c r="B2700" s="12" t="str">
        <f t="shared" si="238"/>
        <v>Reddit Jumpchain Drive/Completed/Named Folders of Reddit/Devil is a Part Timer</v>
      </c>
    </row>
    <row r="2701">
      <c r="A2701" s="12" t="str">
        <f>HYPERLINK("https://drive.google.com/file/d/1bbcoc_CibxQFTUPgmDsVYIoSvs_J50Z4/view?usp=drivesdk","22 - oyyxDNg.jpg")</f>
        <v>22 - oyyxDNg.jpg</v>
      </c>
      <c r="B2701" s="12" t="str">
        <f t="shared" si="238"/>
        <v>Reddit Jumpchain Drive/Completed/Named Folders of Reddit/Devil is a Part Timer</v>
      </c>
    </row>
    <row r="2702">
      <c r="A2702" s="12" t="str">
        <f>HYPERLINK("https://drive.google.com/file/d/1uhE-6FtdrLmGG3A8Lh4zJcfp51AXvaVO/view?usp=drivesdk","21 - naEf5li.jpg")</f>
        <v>21 - naEf5li.jpg</v>
      </c>
      <c r="B2702" s="12" t="str">
        <f t="shared" si="238"/>
        <v>Reddit Jumpchain Drive/Completed/Named Folders of Reddit/Devil is a Part Timer</v>
      </c>
    </row>
    <row r="2703">
      <c r="A2703" s="12" t="str">
        <f>HYPERLINK("https://drive.google.com/file/d/12TzabuS4-l5qofEXLwWjYgxWw59Wkw7T/view?usp=drivesdk","12 - GBqpbJJ.jpg")</f>
        <v>12 - GBqpbJJ.jpg</v>
      </c>
      <c r="B2703" s="12" t="str">
        <f t="shared" si="238"/>
        <v>Reddit Jumpchain Drive/Completed/Named Folders of Reddit/Devil is a Part Timer</v>
      </c>
    </row>
    <row r="2704">
      <c r="A2704" s="12" t="str">
        <f>HYPERLINK("https://drive.google.com/file/d/147nYpnNYZuEB4ftnZV0yhqAvABoXwBzs/view?usp=drivesdk","6 - LJEU3vR.jpg")</f>
        <v>6 - LJEU3vR.jpg</v>
      </c>
      <c r="B2704" s="12" t="str">
        <f t="shared" si="238"/>
        <v>Reddit Jumpchain Drive/Completed/Named Folders of Reddit/Devil is a Part Timer</v>
      </c>
    </row>
    <row r="2705">
      <c r="A2705" s="12" t="str">
        <f>HYPERLINK("https://drive.google.com/file/d/14BhRqmMRAe851QmHr6iOJ6ETRjck7O94/view?usp=drivesdk","5 - Q4zaWTj.jpg")</f>
        <v>5 - Q4zaWTj.jpg</v>
      </c>
      <c r="B2705" s="12" t="str">
        <f t="shared" si="238"/>
        <v>Reddit Jumpchain Drive/Completed/Named Folders of Reddit/Devil is a Part Timer</v>
      </c>
    </row>
    <row r="2706">
      <c r="A2706" s="12" t="str">
        <f>HYPERLINK("https://drive.google.com/file/d/15hoqVZ6le3z3M5ExGiAApMiFqU2VfVT0/view?usp=drivesdk","19 - 0jTyPhY.jpg")</f>
        <v>19 - 0jTyPhY.jpg</v>
      </c>
      <c r="B2706" s="12" t="str">
        <f t="shared" si="238"/>
        <v>Reddit Jumpchain Drive/Completed/Named Folders of Reddit/Devil is a Part Timer</v>
      </c>
    </row>
    <row r="2707">
      <c r="A2707" s="12" t="str">
        <f>HYPERLINK("https://drive.google.com/file/d/17ER_UcjJYqF2jl_-n320wz6JyO-qk766/view?usp=drivesdk","3 - 0fEp4MD.jpg")</f>
        <v>3 - 0fEp4MD.jpg</v>
      </c>
      <c r="B2707" s="12" t="str">
        <f t="shared" si="238"/>
        <v>Reddit Jumpchain Drive/Completed/Named Folders of Reddit/Devil is a Part Timer</v>
      </c>
    </row>
    <row r="2708">
      <c r="A2708" s="12" t="str">
        <f>HYPERLINK("https://drive.google.com/file/d/17Zp9MDLE7M0_VaCx4kwiZaagi0Z5PzUM/view?usp=drivesdk","10 - mnJdCri.jpg")</f>
        <v>10 - mnJdCri.jpg</v>
      </c>
      <c r="B2708" s="12" t="str">
        <f t="shared" si="238"/>
        <v>Reddit Jumpchain Drive/Completed/Named Folders of Reddit/Devil is a Part Timer</v>
      </c>
    </row>
    <row r="2709">
      <c r="A2709" s="12" t="str">
        <f>HYPERLINK("https://drive.google.com/file/d/18W53XDKbQ_e_yKnC1HP2nDd6-cJ7nwfy/view?usp=drivesdk","20 - UIpuPeR.jpg")</f>
        <v>20 - UIpuPeR.jpg</v>
      </c>
      <c r="B2709" s="12" t="str">
        <f t="shared" si="238"/>
        <v>Reddit Jumpchain Drive/Completed/Named Folders of Reddit/Devil is a Part Timer</v>
      </c>
    </row>
    <row r="2710">
      <c r="A2710" s="12" t="str">
        <f>HYPERLINK("https://drive.google.com/file/d/1Bkx63ojiaS1Cw40mC4n2KsyQ6ir2QDMS/view?usp=drivesdk","13 - lvnmyjO.jpg")</f>
        <v>13 - lvnmyjO.jpg</v>
      </c>
      <c r="B2710" s="12" t="str">
        <f t="shared" si="238"/>
        <v>Reddit Jumpchain Drive/Completed/Named Folders of Reddit/Devil is a Part Timer</v>
      </c>
    </row>
    <row r="2711">
      <c r="A2711" s="12" t="str">
        <f>HYPERLINK("https://drive.google.com/file/d/1GwADa1WCxeqhF1J-7mCY5_4LIANgi1SI/view?usp=drivesdk","2 - QEw9K2U.jpg")</f>
        <v>2 - QEw9K2U.jpg</v>
      </c>
      <c r="B2711" s="12" t="str">
        <f t="shared" si="238"/>
        <v>Reddit Jumpchain Drive/Completed/Named Folders of Reddit/Devil is a Part Timer</v>
      </c>
    </row>
    <row r="2712">
      <c r="A2712" s="12" t="str">
        <f>HYPERLINK("https://drive.google.com/file/d/1MDl6lob7TJzyYXTMrk2QDkdO314HNJKh/view?usp=drivesdk","18 - dRhBfKs.jpg")</f>
        <v>18 - dRhBfKs.jpg</v>
      </c>
      <c r="B2712" s="12" t="str">
        <f t="shared" si="238"/>
        <v>Reddit Jumpchain Drive/Completed/Named Folders of Reddit/Devil is a Part Timer</v>
      </c>
    </row>
    <row r="2713">
      <c r="A2713" s="12" t="str">
        <f>HYPERLINK("https://drive.google.com/file/d/1P3tb68QkWQDhp71trE15wp1ULedKJncp/view?usp=drivesdk","11 - pAXnXKb.jpg")</f>
        <v>11 - pAXnXKb.jpg</v>
      </c>
      <c r="B2713" s="12" t="str">
        <f t="shared" si="238"/>
        <v>Reddit Jumpchain Drive/Completed/Named Folders of Reddit/Devil is a Part Timer</v>
      </c>
    </row>
    <row r="2714">
      <c r="A2714" s="12" t="str">
        <f>HYPERLINK("https://drive.google.com/file/d/1Q9zEiFBUp3laW5vETNikipqYZToN4JQO/view?usp=drivesdk","1 - CP3sqpX.jpg")</f>
        <v>1 - CP3sqpX.jpg</v>
      </c>
      <c r="B2714" s="12" t="str">
        <f t="shared" si="238"/>
        <v>Reddit Jumpchain Drive/Completed/Named Folders of Reddit/Devil is a Part Timer</v>
      </c>
    </row>
    <row r="2715">
      <c r="A2715" s="12" t="str">
        <f>HYPERLINK("https://drive.google.com/file/d/1TgNIqf_AQoZYWYCX1e8gqrXHfYmbqlrP/view?usp=drivesdk","9 - rWmJl1b.jpg")</f>
        <v>9 - rWmJl1b.jpg</v>
      </c>
      <c r="B2715" s="12" t="str">
        <f t="shared" si="238"/>
        <v>Reddit Jumpchain Drive/Completed/Named Folders of Reddit/Devil is a Part Timer</v>
      </c>
    </row>
    <row r="2716">
      <c r="A2716" s="12" t="str">
        <f>HYPERLINK("https://drive.google.com/file/d/1YtHKTJa7lvGRAq9c8lqoVxs9FGNxVBvd/view?usp=drivesdk","4 - fNsH9m5.jpg")</f>
        <v>4 - fNsH9m5.jpg</v>
      </c>
      <c r="B2716" s="12" t="str">
        <f t="shared" si="238"/>
        <v>Reddit Jumpchain Drive/Completed/Named Folders of Reddit/Devil is a Part Timer</v>
      </c>
    </row>
    <row r="2717">
      <c r="A2717" s="12" t="str">
        <f>HYPERLINK("https://drive.google.com/file/d/1bpvbq2exKZnuaVtD-1gqbdbUoAZO9DQX/view?usp=drivesdk","16 - Y4UpMKL.jpg")</f>
        <v>16 - Y4UpMKL.jpg</v>
      </c>
      <c r="B2717" s="12" t="str">
        <f t="shared" si="238"/>
        <v>Reddit Jumpchain Drive/Completed/Named Folders of Reddit/Devil is a Part Timer</v>
      </c>
    </row>
    <row r="2718">
      <c r="A2718" s="12" t="str">
        <f>HYPERLINK("https://drive.google.com/file/d/1g2ZjKNTpc85YG-aeXDHRpm55CPKB56fm/view?usp=drivesdk","15 - wdSC4zR.jpg")</f>
        <v>15 - wdSC4zR.jpg</v>
      </c>
      <c r="B2718" s="12" t="str">
        <f t="shared" si="238"/>
        <v>Reddit Jumpchain Drive/Completed/Named Folders of Reddit/Devil is a Part Timer</v>
      </c>
    </row>
    <row r="2719">
      <c r="A2719" s="12" t="str">
        <f>HYPERLINK("https://drive.google.com/file/d/1gni61bvTfk-DOY-QCYZqfrqPGew7HUJH/view?usp=drivesdk","17 - OBDJDQF.jpg")</f>
        <v>17 - OBDJDQF.jpg</v>
      </c>
      <c r="B2719" s="12" t="str">
        <f t="shared" si="238"/>
        <v>Reddit Jumpchain Drive/Completed/Named Folders of Reddit/Devil is a Part Timer</v>
      </c>
    </row>
    <row r="2720">
      <c r="A2720" s="12" t="str">
        <f>HYPERLINK("https://drive.google.com/file/d/1n-fI0GyPODsjZQuVgF_aptjeIFQi0Dyy/view?usp=drivesdk","14 - ZoMjb5r.jpg")</f>
        <v>14 - ZoMjb5r.jpg</v>
      </c>
      <c r="B2720" s="12" t="str">
        <f t="shared" si="238"/>
        <v>Reddit Jumpchain Drive/Completed/Named Folders of Reddit/Devil is a Part Timer</v>
      </c>
    </row>
    <row r="2721">
      <c r="A2721" s="12" t="str">
        <f>HYPERLINK("https://drive.google.com/file/d/1rtDRW6CWdJpl-SQUbmbzfWaCJ_VBlMBn/view?usp=drivesdk","7 - ItpWS6U.jpg")</f>
        <v>7 - ItpWS6U.jpg</v>
      </c>
      <c r="B2721" s="12" t="str">
        <f t="shared" si="238"/>
        <v>Reddit Jumpchain Drive/Completed/Named Folders of Reddit/Devil is a Part Timer</v>
      </c>
    </row>
    <row r="2722">
      <c r="A2722" s="12" t="str">
        <f>HYPERLINK("https://drive.google.com/file/d/1zzl-bt1w0AuE8-aEzwOufGEesRhKwuRR/view?usp=drivesdk","8 - NeV5tNf.jpg")</f>
        <v>8 - NeV5tNf.jpg</v>
      </c>
      <c r="B2722" s="12" t="str">
        <f t="shared" si="238"/>
        <v>Reddit Jumpchain Drive/Completed/Named Folders of Reddit/Devil is a Part Timer</v>
      </c>
    </row>
    <row r="2723">
      <c r="A2723" s="12" t="str">
        <f>HYPERLINK("https://drive.google.com/file/d/1hpmunF3eOzl4lfGoBfgJ81oak8kJfsp0/view?usp=drivesdk","FFXV 1.2.pdf")</f>
        <v>FFXV 1.2.pdf</v>
      </c>
      <c r="B2723" s="12" t="str">
        <f t="shared" ref="B2723:B2724" si="239">HYPERLINK("https://drive.google.com/drive/folders/1SefNfLpQcBmxyHL2OCWM2evZGjcNh0ig","Reddit Jumpchain Drive/Completed/Named Folders of Reddit/Final Fantasy ")</f>
        <v>Reddit Jumpchain Drive/Completed/Named Folders of Reddit/Final Fantasy </v>
      </c>
    </row>
    <row r="2724">
      <c r="A2724" s="12" t="str">
        <f>HYPERLINK("https://drive.google.com/file/d/1gF4x486VGmNyzgHML_nxdeLKZ0Pk8eIk/view?usp=drivesdk","FF7 Remake Jumpchain")</f>
        <v>FF7 Remake Jumpchain</v>
      </c>
      <c r="B2724" s="12" t="str">
        <f t="shared" si="239"/>
        <v>Reddit Jumpchain Drive/Completed/Named Folders of Reddit/Final Fantasy </v>
      </c>
    </row>
    <row r="2725">
      <c r="A2725" s="12" t="str">
        <f>HYPERLINK("https://drive.google.com/file/d/1SXE2Q140i1dyxjD0zV199SDORNXhyphx/view?usp=drivesdk","Noita V2.01.pdf")</f>
        <v>Noita V2.01.pdf</v>
      </c>
      <c r="B2725" s="12" t="str">
        <f t="shared" ref="B2725:B2726" si="240">HYPERLINK("https://drive.google.com/drive/folders/1OJgZiiKpwOZfVgr2I11yVdgZ2Sab5STc","Reddit Jumpchain Drive/Completed/Named Folders of Reddit/Noita")</f>
        <v>Reddit Jumpchain Drive/Completed/Named Folders of Reddit/Noita</v>
      </c>
    </row>
    <row r="2726">
      <c r="A2726" s="12" t="str">
        <f>HYPERLINK("https://docs.google.com/document/d/1e79bJ2y9FqXXqNBdiG0yvuGEJm_GGiDfMUm1E5hm8Is/edit?usp=drivesdk","Noita V2")</f>
        <v>Noita V2</v>
      </c>
      <c r="B2726" s="12" t="str">
        <f t="shared" si="240"/>
        <v>Reddit Jumpchain Drive/Completed/Named Folders of Reddit/Noita</v>
      </c>
    </row>
    <row r="2727">
      <c r="A2727" s="12" t="str">
        <f>HYPERLINK("https://drive.google.com/file/d/1U1D65hHpndtg3RPWbyklGInV3Ncic5uh/view?usp=drivesdk","DC Multiverse - Earth 18 JumpChain.pdf")</f>
        <v>DC Multiverse - Earth 18 JumpChain.pdf</v>
      </c>
      <c r="B2727" s="12" t="str">
        <f t="shared" ref="B2727:B2736" si="241">HYPERLINK("https://drive.google.com/drive/folders/1C9qrqpklBh-Noo5LeKYh2foOss7Dbwuq","Reddit Jumpchain Drive/Completed/Named Folders of Reddit/DC")</f>
        <v>Reddit Jumpchain Drive/Completed/Named Folders of Reddit/DC</v>
      </c>
    </row>
    <row r="2728">
      <c r="A2728" s="12" t="str">
        <f>HYPERLINK("https://drive.google.com/file/d/11d_bnvc8FhYBDkXaXwxao7Ds30Fq90qA/view?usp=drivesdk","DC Earth 2 Jumpchain (Outdated).pdf")</f>
        <v>DC Earth 2 Jumpchain (Outdated).pdf</v>
      </c>
      <c r="B2728" s="12" t="str">
        <f t="shared" si="241"/>
        <v>Reddit Jumpchain Drive/Completed/Named Folders of Reddit/DC</v>
      </c>
    </row>
    <row r="2729">
      <c r="A2729" s="12" t="str">
        <f>HYPERLINK("https://drive.google.com/file/d/1mnZcC_X83V4j3eKqAmHwyVgNoiXUZN-J/view?usp=drivesdk","DCeased Jumpchain.pdf")</f>
        <v>DCeased Jumpchain.pdf</v>
      </c>
      <c r="B2729" s="12" t="str">
        <f t="shared" si="241"/>
        <v>Reddit Jumpchain Drive/Completed/Named Folders of Reddit/DC</v>
      </c>
    </row>
    <row r="2730">
      <c r="A2730" s="12" t="str">
        <f>HYPERLINK("https://drive.google.com/file/d/1CwYNzG-hnRDSsCz7XamP7IzT-agC4pzc/view?usp=drivesdk","Amalgam Comics.pdf")</f>
        <v>Amalgam Comics.pdf</v>
      </c>
      <c r="B2730" s="12" t="str">
        <f t="shared" si="241"/>
        <v>Reddit Jumpchain Drive/Completed/Named Folders of Reddit/DC</v>
      </c>
    </row>
    <row r="2731">
      <c r="A2731" s="12" t="str">
        <f>HYPERLINK("https://drive.google.com/file/d/15yHh4amuFDEmEpu6I-ot0N0FnS0IXmTl/view?usp=drivesdk","Batman Arkham Series V1.2.pdf")</f>
        <v>Batman Arkham Series V1.2.pdf</v>
      </c>
      <c r="B2731" s="12" t="str">
        <f t="shared" si="241"/>
        <v>Reddit Jumpchain Drive/Completed/Named Folders of Reddit/DC</v>
      </c>
    </row>
    <row r="2732">
      <c r="A2732" s="12" t="str">
        <f>HYPERLINK("https://drive.google.com/file/d/1aAQFl0xi7JK_XOjdWCnAb3bN-8vadsBW/view?usp=drivesdk","Batman VS TMNT Jumpchain.pdf")</f>
        <v>Batman VS TMNT Jumpchain.pdf</v>
      </c>
      <c r="B2732" s="12" t="str">
        <f t="shared" si="241"/>
        <v>Reddit Jumpchain Drive/Completed/Named Folders of Reddit/DC</v>
      </c>
    </row>
    <row r="2733">
      <c r="A2733" s="12" t="str">
        <f>HYPERLINK("https://drive.google.com/file/d/1GYPRibNDJ1MbOrXAxdxr5KSG3Js9V0zr/view?usp=drivesdk","DC - Earth 2.pdf")</f>
        <v>DC - Earth 2.pdf</v>
      </c>
      <c r="B2733" s="12" t="str">
        <f t="shared" si="241"/>
        <v>Reddit Jumpchain Drive/Completed/Named Folders of Reddit/DC</v>
      </c>
    </row>
    <row r="2734">
      <c r="A2734" s="12" t="str">
        <f>HYPERLINK("https://drive.google.com/file/d/1H_rjK1HoL8439Xrms2lS_DMHX0nkUBK6/view?usp=drivesdk","SUPERMAN RED SON V1.2.pdf")</f>
        <v>SUPERMAN RED SON V1.2.pdf</v>
      </c>
      <c r="B2734" s="12" t="str">
        <f t="shared" si="241"/>
        <v>Reddit Jumpchain Drive/Completed/Named Folders of Reddit/DC</v>
      </c>
    </row>
    <row r="2735">
      <c r="A2735" s="12" t="str">
        <f>HYPERLINK("https://drive.google.com/file/d/1NQ2bK-Rss0GJsP-JnrgGC0MFxgFrdvb9/view?usp=drivesdk","JLD Jump.pdf")</f>
        <v>JLD Jump.pdf</v>
      </c>
      <c r="B2735" s="12" t="str">
        <f t="shared" si="241"/>
        <v>Reddit Jumpchain Drive/Completed/Named Folders of Reddit/DC</v>
      </c>
    </row>
    <row r="2736">
      <c r="A2736" s="12" t="str">
        <f>HYPERLINK("https://drive.google.com/file/d/138SkqxiablC6nzR9nc04iHZWmIRc8Vcj/view?usp=drivesdk","The Batman 2004 1.3 jump.pdf")</f>
        <v>The Batman 2004 1.3 jump.pdf</v>
      </c>
      <c r="B2736" s="12" t="str">
        <f t="shared" si="241"/>
        <v>Reddit Jumpchain Drive/Completed/Named Folders of Reddit/DC</v>
      </c>
    </row>
    <row r="2737">
      <c r="A2737" s="12" t="str">
        <f>HYPERLINK("https://drive.google.com/file/d/1xxwPsb8Ru50SzSgXGvmLcUbRsYKpfWTu/view?usp=drivesdk","Kirby Right Back at ya (Kirby Of the Stars) Jump Teaser.pdf")</f>
        <v>Kirby Right Back at ya (Kirby Of the Stars) Jump Teaser.pdf</v>
      </c>
      <c r="B2737" s="12" t="str">
        <f t="shared" ref="B2737:B2739" si="242">HYPERLINK("https://drive.google.com/drive/folders/13JtkFor0waSHJL1cu3PSaUb_-CmUYJpS","Reddit Jumpchain Drive/Completed/Named Folders of Reddit/Kirby Franchise/Kirby Anime/Kirby Right Back at Ya")</f>
        <v>Reddit Jumpchain Drive/Completed/Named Folders of Reddit/Kirby Franchise/Kirby Anime/Kirby Right Back at Ya</v>
      </c>
    </row>
    <row r="2738">
      <c r="A2738" s="12" t="str">
        <f>HYPERLINK("https://drive.google.com/file/d/1DOd-UWrYCqlW5ql9-07DuCXz--tcPRDi/view?usp=drivesdk","Kirby Right Back at ya (Kirby Of the Stars) Jump With Intro.pdf")</f>
        <v>Kirby Right Back at ya (Kirby Of the Stars) Jump With Intro.pdf</v>
      </c>
      <c r="B2738" s="12" t="str">
        <f t="shared" si="242"/>
        <v>Reddit Jumpchain Drive/Completed/Named Folders of Reddit/Kirby Franchise/Kirby Anime/Kirby Right Back at Ya</v>
      </c>
    </row>
    <row r="2739">
      <c r="A2739" s="12" t="str">
        <f>HYPERLINK("https://drive.google.com/file/d/1QBii7r9WkWU4UvyJ1bkpNgSulxEeqbn8/view?usp=drivesdk","Kirby Right Back at ya (Kirby Of the Stars) Jump.pdf")</f>
        <v>Kirby Right Back at ya (Kirby Of the Stars) Jump.pdf</v>
      </c>
      <c r="B2739" s="12" t="str">
        <f t="shared" si="242"/>
        <v>Reddit Jumpchain Drive/Completed/Named Folders of Reddit/Kirby Franchise/Kirby Anime/Kirby Right Back at Ya</v>
      </c>
    </row>
    <row r="2740">
      <c r="A2740" s="12" t="str">
        <f>HYPERLINK("https://drive.google.com/file/d/1xOoCBEvI9zB7RVn8n8Qy7oblFdqGRGxp/view?usp=drivesdk","Hoshi no Kaabii Jump Intro.pdf")</f>
        <v>Hoshi no Kaabii Jump Intro.pdf</v>
      </c>
      <c r="B2740" s="12" t="str">
        <f t="shared" ref="B2740:B2742" si="243">HYPERLINK("https://drive.google.com/drive/folders/1VntyoXMH0JeqvrVwzDnKoRZmHmXgX3gI","Reddit Jumpchain Drive/Completed/Named Folders of Reddit/Kirby Franchise/Kirby Anime/Hoshi no Kaabii")</f>
        <v>Reddit Jumpchain Drive/Completed/Named Folders of Reddit/Kirby Franchise/Kirby Anime/Hoshi no Kaabii</v>
      </c>
    </row>
    <row r="2741">
      <c r="A2741" s="12" t="str">
        <f>HYPERLINK("https://drive.google.com/file/d/1afzk2EfQ59-CjVgUCW9Vak7PhRteTl2b/view?usp=drivesdk","Hoshi no Kaabi (Kirby Of the Stars) Jump.pdf")</f>
        <v>Hoshi no Kaabi (Kirby Of the Stars) Jump.pdf</v>
      </c>
      <c r="B2741" s="12" t="str">
        <f t="shared" si="243"/>
        <v>Reddit Jumpchain Drive/Completed/Named Folders of Reddit/Kirby Franchise/Kirby Anime/Hoshi no Kaabii</v>
      </c>
    </row>
    <row r="2742">
      <c r="A2742" s="12" t="str">
        <f>HYPERLINK("https://drive.google.com/file/d/1vDyEF-3HziB7Cuo28nFLQqcCmWRoQYGG/view?usp=drivesdk","Hoshi no Kaabii (Kirby of the Stars) With Intro Jump.pdf")</f>
        <v>Hoshi no Kaabii (Kirby of the Stars) With Intro Jump.pdf</v>
      </c>
      <c r="B2742" s="12" t="str">
        <f t="shared" si="243"/>
        <v>Reddit Jumpchain Drive/Completed/Named Folders of Reddit/Kirby Franchise/Kirby Anime/Hoshi no Kaabii</v>
      </c>
    </row>
    <row r="2743">
      <c r="A2743" s="12" t="str">
        <f>HYPERLINK("https://drive.google.com/file/d/1u6BHWGcDxBMc8C5a1EI1XlSCSGRl2jRe/view?usp=drivesdk","Kirby Star Allies.pdf")</f>
        <v>Kirby Star Allies.pdf</v>
      </c>
      <c r="B2743" s="12" t="str">
        <f>HYPERLINK("https://drive.google.com/drive/folders/17IXyrE5dIov1mNnHGClJsJlC2eCnDXlG","Reddit Jumpchain Drive/Completed/Named Folders of Reddit/Kirby Franchise/Kirby Games")</f>
        <v>Reddit Jumpchain Drive/Completed/Named Folders of Reddit/Kirby Franchise/Kirby Games</v>
      </c>
    </row>
    <row r="2744">
      <c r="A2744" s="12" t="str">
        <f>HYPERLINK("https://drive.google.com/file/d/1xaazfE7NRZ863O5m3RPsAlR41KUN07o5/view?usp=drivesdk","Naruto - Jumpchain.pdf")</f>
        <v>Naruto - Jumpchain.pdf</v>
      </c>
      <c r="B2744" s="12" t="str">
        <f t="shared" ref="B2744:B2749" si="244">HYPERLINK("https://drive.google.com/drive/folders/1hyfN6e61x2BmMoDRvTPWw5CfUVy4bZzl","Reddit Jumpchain Drive/Completed/Named Folders of Reddit/Naruto")</f>
        <v>Reddit Jumpchain Drive/Completed/Named Folders of Reddit/Naruto</v>
      </c>
    </row>
    <row r="2745">
      <c r="A2745" s="12" t="str">
        <f>HYPERLINK("https://drive.google.com/file/d/1l8xh6l9EEi7IflwyNieDfk5aGzKE9yUp/view?usp=drivesdk","Naruto - Ōtsutsuki Clan Jump V1.1.pdf")</f>
        <v>Naruto - Ōtsutsuki Clan Jump V1.1.pdf</v>
      </c>
      <c r="B2745" s="12" t="str">
        <f t="shared" si="244"/>
        <v>Reddit Jumpchain Drive/Completed/Named Folders of Reddit/Naruto</v>
      </c>
    </row>
    <row r="2746">
      <c r="A2746" s="12" t="str">
        <f>HYPERLINK("https://drive.google.com/file/d/1abIHkFnIp3VGjsdFD56l-XAZ8LOOW1MH/view?usp=drivesdk","Naruto Reddit_compressed.pdf")</f>
        <v>Naruto Reddit_compressed.pdf</v>
      </c>
      <c r="B2746" s="12" t="str">
        <f t="shared" si="244"/>
        <v>Reddit Jumpchain Drive/Completed/Named Folders of Reddit/Naruto</v>
      </c>
    </row>
    <row r="2747">
      <c r="A2747" s="12" t="str">
        <f>HYPERLINK("https://docs.google.com/document/d/1zp1Hk0g6WjDQq5QuZEtiIELc2Mq3whdeNoOK8pcgZj8/edit?usp=drivesdk","Naruto(Reddit edition)")</f>
        <v>Naruto(Reddit edition)</v>
      </c>
      <c r="B2747" s="12" t="str">
        <f t="shared" si="244"/>
        <v>Reddit Jumpchain Drive/Completed/Named Folders of Reddit/Naruto</v>
      </c>
    </row>
    <row r="2748">
      <c r="A2748" s="12" t="str">
        <f>HYPERLINK("https://docs.google.com/document/d/1nU6Oq4a06FC_p4mPHJPK7XiA24-4SUruYxGju1biAK4/edit?usp=drivesdk","Naruto(Reddit edition)")</f>
        <v>Naruto(Reddit edition)</v>
      </c>
      <c r="B2748" s="12" t="str">
        <f t="shared" si="244"/>
        <v>Reddit Jumpchain Drive/Completed/Named Folders of Reddit/Naruto</v>
      </c>
    </row>
    <row r="2749">
      <c r="A2749" s="12" t="str">
        <f>HYPERLINK("https://drive.google.com/file/d/1b4RWnJ8jeUZlMKbItudFjCm2PIGaaEaj/view?usp=drivesdk","Naruto(Reddit edition).pdf")</f>
        <v>Naruto(Reddit edition).pdf</v>
      </c>
      <c r="B2749" s="12" t="str">
        <f t="shared" si="244"/>
        <v>Reddit Jumpchain Drive/Completed/Named Folders of Reddit/Naruto</v>
      </c>
    </row>
    <row r="2750">
      <c r="A2750" s="12" t="str">
        <f>HYPERLINK("https://drive.google.com/file/d/1zsU8qnRcbMY1Ql3GgvE9Oyb43q2dHwWg/view?usp=drivesdk","Little Nightmares Jump V1.0.pdf")</f>
        <v>Little Nightmares Jump V1.0.pdf</v>
      </c>
      <c r="B2750" s="12" t="str">
        <f t="shared" ref="B2750:B2751" si="245">HYPERLINK("https://drive.google.com/drive/folders/1eZBx33AjuwCbt4s5OLeySdpBin9ld4hl","Reddit Jumpchain Drive/Completed/Named Folders of Reddit/Little Nightmares")</f>
        <v>Reddit Jumpchain Drive/Completed/Named Folders of Reddit/Little Nightmares</v>
      </c>
    </row>
    <row r="2751">
      <c r="A2751" s="12" t="str">
        <f>HYPERLINK("https://drive.google.com/file/d/1cTICVAXHl3K3oJcwRLykmLIEkTgGGY4J/view?usp=drivesdk","Little Nightmares Gauntlet.pdf")</f>
        <v>Little Nightmares Gauntlet.pdf</v>
      </c>
      <c r="B2751" s="12" t="str">
        <f t="shared" si="245"/>
        <v>Reddit Jumpchain Drive/Completed/Named Folders of Reddit/Little Nightmares</v>
      </c>
    </row>
    <row r="2752">
      <c r="A2752" s="12" t="str">
        <f>HYPERLINK("https://drive.google.com/file/d/1Mooy6wtv62ERHxiUZps1rzX8iYXWMQuk/view?usp=drivesdk","Marvel What If..._ Jumpchain.pdf")</f>
        <v>Marvel What If..._ Jumpchain.pdf</v>
      </c>
      <c r="B2752" s="12" t="str">
        <f t="shared" ref="B2752:B2759" si="246">HYPERLINK("https://drive.google.com/drive/folders/1f6Tr8-OiNJ0c6sIiDdAOPLRYrSc4rjed","Reddit Jumpchain Drive/Completed/Named Folders of Reddit/Marvel")</f>
        <v>Reddit Jumpchain Drive/Completed/Named Folders of Reddit/Marvel</v>
      </c>
    </row>
    <row r="2753">
      <c r="A2753" s="12" t="str">
        <f>HYPERLINK("https://drive.google.com/file/d/1qmLwOKacsKlglHHb0ti3a06wASf_GFeE/view?usp=drivesdk","Copy of Marvel What If..._ Jumpchain (Dark).pdf")</f>
        <v>Copy of Marvel What If..._ Jumpchain (Dark).pdf</v>
      </c>
      <c r="B2753" s="12" t="str">
        <f t="shared" si="246"/>
        <v>Reddit Jumpchain Drive/Completed/Named Folders of Reddit/Marvel</v>
      </c>
    </row>
    <row r="2754">
      <c r="A2754" s="12" t="str">
        <f>HYPERLINK("https://drive.google.com/file/d/14mJjZDa57bJRcTaOxR7X9wdorKYn-UFo/view?usp=drivesdk","Amalgam Comics.pdf")</f>
        <v>Amalgam Comics.pdf</v>
      </c>
      <c r="B2754" s="12" t="str">
        <f t="shared" si="246"/>
        <v>Reddit Jumpchain Drive/Completed/Named Folders of Reddit/Marvel</v>
      </c>
    </row>
    <row r="2755">
      <c r="A2755" s="12" t="str">
        <f>HYPERLINK("https://drive.google.com/file/d/1ERSqTKLgrWmeJnqX8Y_CVi7FALHYZt1H/view?usp=drivesdk","Venomverse.pdf")</f>
        <v>Venomverse.pdf</v>
      </c>
      <c r="B2755" s="12" t="str">
        <f t="shared" si="246"/>
        <v>Reddit Jumpchain Drive/Completed/Named Folders of Reddit/Marvel</v>
      </c>
    </row>
    <row r="2756">
      <c r="A2756" s="12" t="str">
        <f>HYPERLINK("https://drive.google.com/file/d/1rqKdwJj98mH5YaMeNdhNJbHpbJrIkmz1/view?usp=drivesdk","Indestructible Hulk v1.2.pdf")</f>
        <v>Indestructible Hulk v1.2.pdf</v>
      </c>
      <c r="B2756" s="12" t="str">
        <f t="shared" si="246"/>
        <v>Reddit Jumpchain Drive/Completed/Named Folders of Reddit/Marvel</v>
      </c>
    </row>
    <row r="2757">
      <c r="A2757" s="12" t="str">
        <f>HYPERLINK("https://drive.google.com/file/d/1ROJD2_w1ZDXGnmlOvLNvE77O2Xrmc-dg/view?usp=drivesdk","Ultimate Marvel CYOA V1.0")</f>
        <v>Ultimate Marvel CYOA V1.0</v>
      </c>
      <c r="B2757" s="12" t="str">
        <f t="shared" si="246"/>
        <v>Reddit Jumpchain Drive/Completed/Named Folders of Reddit/Marvel</v>
      </c>
    </row>
    <row r="2758">
      <c r="A2758" s="12" t="str">
        <f>HYPERLINK("https://drive.google.com/file/d/1o5_Ri2mMdoJpzsJx2NYWBYgjiLcdwgsW/view?usp=drivesdk","Marvel Comics Kid Superheroes")</f>
        <v>Marvel Comics Kid Superheroes</v>
      </c>
      <c r="B2758" s="12" t="str">
        <f t="shared" si="246"/>
        <v>Reddit Jumpchain Drive/Completed/Named Folders of Reddit/Marvel</v>
      </c>
    </row>
    <row r="2759">
      <c r="A2759" s="12" t="str">
        <f>HYPERLINK("https://drive.google.com/file/d/1XpsWF2xjyxdbXx4oEdKereVqV2YdILEb/view?usp=drivesdk","Into The Spiderverse Jumpchain v1.2.pdf")</f>
        <v>Into The Spiderverse Jumpchain v1.2.pdf</v>
      </c>
      <c r="B2759" s="12" t="str">
        <f t="shared" si="246"/>
        <v>Reddit Jumpchain Drive/Completed/Named Folders of Reddit/Marvel</v>
      </c>
    </row>
    <row r="2760">
      <c r="A2760" s="12" t="str">
        <f>HYPERLINK("https://docs.google.com/document/d/18wgU9qC1Obt2jqdIvkR3qrpTXQzkA4kKa5ahGZ_H1_o/edit?usp=drivesdk","World War Hulk v1.2")</f>
        <v>World War Hulk v1.2</v>
      </c>
      <c r="B2760" s="12" t="str">
        <f t="shared" ref="B2760:B2763" si="247">HYPERLINK("https://drive.google.com/drive/folders/1b9LFCZRbZK-SXUJZ4Y8txBg_GPPi0uCM","Reddit Jumpchain Drive/Completed/Named Folders of Reddit/Marvel/Planet Hulk Saga")</f>
        <v>Reddit Jumpchain Drive/Completed/Named Folders of Reddit/Marvel/Planet Hulk Saga</v>
      </c>
    </row>
    <row r="2761">
      <c r="A2761" s="12" t="str">
        <f>HYPERLINK("https://docs.google.com/document/d/1DIF-7WIZqsBA9OrxymigUNskaPpEibHA-gnpAY5nZfg/edit?usp=drivesdk","Planet Hulk v1.2")</f>
        <v>Planet Hulk v1.2</v>
      </c>
      <c r="B2761" s="12" t="str">
        <f t="shared" si="247"/>
        <v>Reddit Jumpchain Drive/Completed/Named Folders of Reddit/Marvel/Planet Hulk Saga</v>
      </c>
    </row>
    <row r="2762">
      <c r="A2762" s="12" t="str">
        <f>HYPERLINK("https://drive.google.com/file/d/1S4wLsTC0m0T2awW3zkmZhdNioycrSapc/view?usp=drivesdk","Planet Hulk v1.2.pdf")</f>
        <v>Planet Hulk v1.2.pdf</v>
      </c>
      <c r="B2762" s="12" t="str">
        <f t="shared" si="247"/>
        <v>Reddit Jumpchain Drive/Completed/Named Folders of Reddit/Marvel/Planet Hulk Saga</v>
      </c>
    </row>
    <row r="2763">
      <c r="A2763" s="12" t="str">
        <f>HYPERLINK("https://drive.google.com/file/d/1jOLoF8oLCXo7BfehotlWihr9QoTjVnzE/view?usp=drivesdk","World War Hulk v1.2.pdf")</f>
        <v>World War Hulk v1.2.pdf</v>
      </c>
      <c r="B2763" s="12" t="str">
        <f t="shared" si="247"/>
        <v>Reddit Jumpchain Drive/Completed/Named Folders of Reddit/Marvel/Planet Hulk Saga</v>
      </c>
    </row>
    <row r="2764">
      <c r="A2764" s="12" t="str">
        <f>HYPERLINK("https://drive.google.com/file/d/1tDUUmLJQwQ93DLN1pBqBI3QkLSSl1mqV/view?usp=drivesdk","Ori And The Blind Forest v1.0")</f>
        <v>Ori And The Blind Forest v1.0</v>
      </c>
      <c r="B2764" s="12" t="str">
        <f t="shared" ref="B2764:B2765" si="248">HYPERLINK("https://drive.google.com/drive/folders/1ohEtMFImW1NqRfh_P2U9k2jwvsmRNrrY","Reddit Jumpchain Drive/Completed/Named Folders of Reddit/Ori")</f>
        <v>Reddit Jumpchain Drive/Completed/Named Folders of Reddit/Ori</v>
      </c>
    </row>
    <row r="2765">
      <c r="A2765" s="12" t="str">
        <f>HYPERLINK("https://drive.google.com/file/d/1wZmF4pLcC3xEVGozG8ZZxJkfWxIAuNUU/view?usp=drivesdk","Ori Jump v 2.0")</f>
        <v>Ori Jump v 2.0</v>
      </c>
      <c r="B2765" s="12" t="str">
        <f t="shared" si="248"/>
        <v>Reddit Jumpchain Drive/Completed/Named Folders of Reddit/Ori</v>
      </c>
    </row>
    <row r="2766">
      <c r="A2766" s="12" t="str">
        <f>HYPERLINK("https://drive.google.com/file/d/1vpKt2vOt9ExVSnEKVzH6YVIVqoVXj7OV/view?usp=drivesdk","Persona 3 v2.1")</f>
        <v>Persona 3 v2.1</v>
      </c>
      <c r="B2766" s="12" t="str">
        <f t="shared" ref="B2766:B2767" si="249">HYPERLINK("https://drive.google.com/drive/folders/1d8F-GODt6B1ecTfXijv2g_Gr_YXfAI4X","Reddit Jumpchain Drive/Completed/Named Folders of Reddit/Persona")</f>
        <v>Reddit Jumpchain Drive/Completed/Named Folders of Reddit/Persona</v>
      </c>
    </row>
    <row r="2767">
      <c r="A2767" s="12" t="str">
        <f>HYPERLINK("https://drive.google.com/file/d/1s_U_NNGkxptH7vMVYqJPmpuXOhefv2XB/view?usp=drivesdk","Persona 5 Royal 1.2")</f>
        <v>Persona 5 Royal 1.2</v>
      </c>
      <c r="B2767" s="12" t="str">
        <f t="shared" si="249"/>
        <v>Reddit Jumpchain Drive/Completed/Named Folders of Reddit/Persona</v>
      </c>
    </row>
    <row r="2768">
      <c r="A2768" s="12" t="str">
        <f>HYPERLINK("https://drive.google.com/file/d/11vGlTlQmbPXiyo1HO0_1Mpwgc9u4lyen/view?usp=drivesdk","Pokemon Legends Arceus v1.2.pdf")</f>
        <v>Pokemon Legends Arceus v1.2.pdf</v>
      </c>
      <c r="B2768" s="12" t="str">
        <f t="shared" ref="B2768:B2778" si="250">HYPERLINK("https://drive.google.com/drive/folders/1nO3yvcZ0ragWqj8EP83aR-Ktc3evBB5t","Reddit Jumpchain Drive/Completed/Named Folders of Reddit/Pokemon")</f>
        <v>Reddit Jumpchain Drive/Completed/Named Folders of Reddit/Pokemon</v>
      </c>
    </row>
    <row r="2769">
      <c r="A2769" s="12" t="str">
        <f>HYPERLINK("https://drive.google.com/file/d/1GDyZIlMKwxtx_9fGeGjQfxYhCK18VUoV/view?usp=drivesdk","Pokemon Legends Arceus v1.1.pdf")</f>
        <v>Pokemon Legends Arceus v1.1.pdf</v>
      </c>
      <c r="B2769" s="12" t="str">
        <f t="shared" si="250"/>
        <v>Reddit Jumpchain Drive/Completed/Named Folders of Reddit/Pokemon</v>
      </c>
    </row>
    <row r="2770">
      <c r="A2770" s="12" t="str">
        <f>HYPERLINK("https://drive.google.com/file/d/1i9h37k-e8sPVc88f3f66ee1WqEY6Cmaa/view?usp=drivesdk","Detective Pikachu Movie v2.0.pdf")</f>
        <v>Detective Pikachu Movie v2.0.pdf</v>
      </c>
      <c r="B2770" s="12" t="str">
        <f t="shared" si="250"/>
        <v>Reddit Jumpchain Drive/Completed/Named Folders of Reddit/Pokemon</v>
      </c>
    </row>
    <row r="2771">
      <c r="A2771" s="12" t="str">
        <f>HYPERLINK("https://drive.google.com/file/d/1OhjnGgBM5dQ-rzyWJmy8D6w9s8tSDoht/view?usp=drivesdk","Pokemon Tabletop United Jumpchain 1.6.pdf")</f>
        <v>Pokemon Tabletop United Jumpchain 1.6.pdf</v>
      </c>
      <c r="B2771" s="12" t="str">
        <f t="shared" si="250"/>
        <v>Reddit Jumpchain Drive/Completed/Named Folders of Reddit/Pokemon</v>
      </c>
    </row>
    <row r="2772">
      <c r="A2772" s="12" t="str">
        <f>HYPERLINK("https://drive.google.com/file/d/1_dADa_nzHRDNWXVKnQd6MQCEXqDlFcZA/view?usp=drivesdk","Fakemon 0.9.pdf")</f>
        <v>Fakemon 0.9.pdf</v>
      </c>
      <c r="B2772" s="12" t="str">
        <f t="shared" si="250"/>
        <v>Reddit Jumpchain Drive/Completed/Named Folders of Reddit/Pokemon</v>
      </c>
    </row>
    <row r="2773">
      <c r="A2773" s="12" t="str">
        <f>HYPERLINK("https://drive.google.com/file/d/1_v8vEahdLYbJmYwfqa4xoXkhqhF25TW2/view?usp=drivesdk","Pokemon Master Jumpdoc 1.1.pdf")</f>
        <v>Pokemon Master Jumpdoc 1.1.pdf</v>
      </c>
      <c r="B2773" s="12" t="str">
        <f t="shared" si="250"/>
        <v>Reddit Jumpchain Drive/Completed/Named Folders of Reddit/Pokemon</v>
      </c>
    </row>
    <row r="2774">
      <c r="A2774" s="12" t="str">
        <f>HYPERLINK("https://drive.google.com/file/d/102tYFIlmWB687vwrLe1mz55c-s9OTEf7/view?usp=drivesdk","Pokemon Reborn Jump ver 1.1")</f>
        <v>Pokemon Reborn Jump ver 1.1</v>
      </c>
      <c r="B2774" s="12" t="str">
        <f t="shared" si="250"/>
        <v>Reddit Jumpchain Drive/Completed/Named Folders of Reddit/Pokemon</v>
      </c>
    </row>
    <row r="2775">
      <c r="A2775" s="12" t="str">
        <f>HYPERLINK("https://drive.google.com/file/d/1b7uEcitwwwWqr05TBDY1-hZvZNZMDrBK/view?usp=drivesdk","Generic Pokemon Mystery Dungeon AU Jumpchain v1.2.pdf")</f>
        <v>Generic Pokemon Mystery Dungeon AU Jumpchain v1.2.pdf</v>
      </c>
      <c r="B2775" s="12" t="str">
        <f t="shared" si="250"/>
        <v>Reddit Jumpchain Drive/Completed/Named Folders of Reddit/Pokemon</v>
      </c>
    </row>
    <row r="2776">
      <c r="A2776" s="12" t="str">
        <f>HYPERLINK("https://drive.google.com/file/d/1uTPha2n1VJkd1nx1tk7K2ObgaJeA6I2p/view?usp=drivesdk","POKEMON MANGA GEN1 JUMPCHAIN CYOA")</f>
        <v>POKEMON MANGA GEN1 JUMPCHAIN CYOA</v>
      </c>
      <c r="B2776" s="12" t="str">
        <f t="shared" si="250"/>
        <v>Reddit Jumpchain Drive/Completed/Named Folders of Reddit/Pokemon</v>
      </c>
    </row>
    <row r="2777">
      <c r="A2777" s="12" t="str">
        <f>HYPERLINK("https://drive.google.com/file/d/1umWfFvjUQtU1ZBbonh5ULy7DbJeW86ZZ/view?usp=drivesdk","Pokemon Masters.pdf")</f>
        <v>Pokemon Masters.pdf</v>
      </c>
      <c r="B2777" s="12" t="str">
        <f t="shared" si="250"/>
        <v>Reddit Jumpchain Drive/Completed/Named Folders of Reddit/Pokemon</v>
      </c>
    </row>
    <row r="2778">
      <c r="A2778" s="12" t="str">
        <f>HYPERLINK("https://drive.google.com/file/d/1ZGII552nHCVlQ2jho1sg5zq5ogCDYzEc/view?usp=drivesdk","Pokemon Adventures Jump Gen 2 v1.2")</f>
        <v>Pokemon Adventures Jump Gen 2 v1.2</v>
      </c>
      <c r="B2778" s="12" t="str">
        <f t="shared" si="250"/>
        <v>Reddit Jumpchain Drive/Completed/Named Folders of Reddit/Pokemon</v>
      </c>
    </row>
    <row r="2779">
      <c r="A2779" s="12" t="str">
        <f>HYPERLINK("https://drive.google.com/file/d/1xVcckA-QPGm_qoaDCk2yru4wrh4bmTPa/view?usp=drivesdk","Yu-Gi-Oh! Arc-V Tag Force Special Jump v1.0.pdf")</f>
        <v>Yu-Gi-Oh! Arc-V Tag Force Special Jump v1.0.pdf</v>
      </c>
      <c r="B2779" s="12" t="str">
        <f t="shared" ref="B2779:B2781" si="251">HYPERLINK("https://drive.google.com/drive/folders/1Xkcyhenquj1BMt1XTwC3ByzSxAFdB8zi","Reddit Jumpchain Drive/Completed/Named Folders of Reddit/Yu-Gi-Oh!")</f>
        <v>Reddit Jumpchain Drive/Completed/Named Folders of Reddit/Yu-Gi-Oh!</v>
      </c>
    </row>
    <row r="2780">
      <c r="A2780" s="12" t="str">
        <f>HYPERLINK("https://drive.google.com/file/d/1DrSaB6woUb_QIbAwwPOrhVGXpK5jtgDb/view?usp=drivesdk","Yugioh Season Zero Jumpchain (1).pdf")</f>
        <v>Yugioh Season Zero Jumpchain (1).pdf</v>
      </c>
      <c r="B2780" s="12" t="str">
        <f t="shared" si="251"/>
        <v>Reddit Jumpchain Drive/Completed/Named Folders of Reddit/Yu-Gi-Oh!</v>
      </c>
    </row>
    <row r="2781">
      <c r="A2781" s="12" t="str">
        <f>HYPERLINK("https://drive.google.com/file/d/1Rg0T1fFpPdNbtHgKl3-jhtV6cokMra0n/view?usp=drivesdk","Yu-Gi-Oh! Arc-V Jumpchain.pdf")</f>
        <v>Yu-Gi-Oh! Arc-V Jumpchain.pdf</v>
      </c>
      <c r="B2781" s="12" t="str">
        <f t="shared" si="251"/>
        <v>Reddit Jumpchain Drive/Completed/Named Folders of Reddit/Yu-Gi-Oh!</v>
      </c>
    </row>
    <row r="2782">
      <c r="A2782" s="12" t="str">
        <f>HYPERLINK("https://drive.google.com/file/d/1WwCvR_Y9C5YXhLDpIMJBY8roCpaWtrz4/view?usp=drivesdk","Goof Troops Jump v1.3.pdf")</f>
        <v>Goof Troops Jump v1.3.pdf</v>
      </c>
      <c r="B2782" s="12" t="str">
        <f t="shared" ref="B2782:B2794" si="252">HYPERLINK("https://drive.google.com/drive/folders/16jG0tdTKWOM5i7IWe2Zj7qLbPU3BwNYD","Reddit Jumpchain Drive/Completed/Named Folders of Reddit/Disney")</f>
        <v>Reddit Jumpchain Drive/Completed/Named Folders of Reddit/Disney</v>
      </c>
    </row>
    <row r="2783">
      <c r="A2783" s="12" t="str">
        <f>HYPERLINK("https://drive.google.com/file/d/1bp5hdO0iFawuouMYqem4j-vrsCFP3mV0/view?usp=drivesdk","Encanto v1.1.pdf")</f>
        <v>Encanto v1.1.pdf</v>
      </c>
      <c r="B2783" s="12" t="str">
        <f t="shared" si="252"/>
        <v>Reddit Jumpchain Drive/Completed/Named Folders of Reddit/Disney</v>
      </c>
    </row>
    <row r="2784">
      <c r="A2784" s="12" t="str">
        <f>HYPERLINK("https://drive.google.com/file/d/1KNc16he5zp_LfWLlvVMH-u_39Tz9rKDC/view?usp=drivesdk","Rapunzel's Tangled Adventure Jump v1.0.pdf")</f>
        <v>Rapunzel's Tangled Adventure Jump v1.0.pdf</v>
      </c>
      <c r="B2784" s="12" t="str">
        <f t="shared" si="252"/>
        <v>Reddit Jumpchain Drive/Completed/Named Folders of Reddit/Disney</v>
      </c>
    </row>
    <row r="2785">
      <c r="A2785" s="12" t="str">
        <f>HYPERLINK("https://drive.google.com/file/d/1PnRpUJZWrCg7N0AMvyg7fs92Vs_XdrqX/view?usp=drivesdk","Chip 'n Dale's Rescue Rangers Jump v1.0.pdf")</f>
        <v>Chip 'n Dale's Rescue Rangers Jump v1.0.pdf</v>
      </c>
      <c r="B2785" s="12" t="str">
        <f t="shared" si="252"/>
        <v>Reddit Jumpchain Drive/Completed/Named Folders of Reddit/Disney</v>
      </c>
    </row>
    <row r="2786">
      <c r="A2786" s="12" t="str">
        <f>HYPERLINK("https://drive.google.com/file/d/16RN70WP0h2KmhuvnTfuDrT7sF5H8WYZb/view?usp=drivesdk","Disney's Snow White Jump.pdf")</f>
        <v>Disney's Snow White Jump.pdf</v>
      </c>
      <c r="B2786" s="12" t="str">
        <f t="shared" si="252"/>
        <v>Reddit Jumpchain Drive/Completed/Named Folders of Reddit/Disney</v>
      </c>
    </row>
    <row r="2787">
      <c r="A2787" s="12" t="str">
        <f>HYPERLINK("https://drive.google.com/file/d/1j8ZJ5A9IW03KmdAov-m4K6CRhmonJ9Wp/view?usp=drivesdk","The Lion King Jumpchain v1.2.pdf")</f>
        <v>The Lion King Jumpchain v1.2.pdf</v>
      </c>
      <c r="B2787" s="12" t="str">
        <f t="shared" si="252"/>
        <v>Reddit Jumpchain Drive/Completed/Named Folders of Reddit/Disney</v>
      </c>
    </row>
    <row r="2788">
      <c r="A2788" s="12" t="str">
        <f>HYPERLINK("https://drive.google.com/file/d/1RiCGBbrK2z56ad_GMom1WP3UKilF02jk/view?usp=drivesdk","Star vs the Forces of Evil")</f>
        <v>Star vs the Forces of Evil</v>
      </c>
      <c r="B2788" s="12" t="str">
        <f t="shared" si="252"/>
        <v>Reddit Jumpchain Drive/Completed/Named Folders of Reddit/Disney</v>
      </c>
    </row>
    <row r="2789">
      <c r="A2789" s="12" t="str">
        <f>HYPERLINK("https://drive.google.com/file/d/1T23kmAUPwcEZq12E2s6u33RvAFDPDVz2/view?usp=drivesdk","Cinderella (Disney) Jump V1.0.pdf")</f>
        <v>Cinderella (Disney) Jump V1.0.pdf</v>
      </c>
      <c r="B2789" s="12" t="str">
        <f t="shared" si="252"/>
        <v>Reddit Jumpchain Drive/Completed/Named Folders of Reddit/Disney</v>
      </c>
    </row>
    <row r="2790">
      <c r="A2790" s="12" t="str">
        <f>HYPERLINK("https://drive.google.com/file/d/1tDcjPBLeIlOcX4dI6oxYMvbNMoIUZkQV/view?usp=drivesdk","The Little Mermaid Jump V1.0.pdf")</f>
        <v>The Little Mermaid Jump V1.0.pdf</v>
      </c>
      <c r="B2790" s="12" t="str">
        <f t="shared" si="252"/>
        <v>Reddit Jumpchain Drive/Completed/Named Folders of Reddit/Disney</v>
      </c>
    </row>
    <row r="2791">
      <c r="A2791" s="12" t="str">
        <f>HYPERLINK("https://drive.google.com/file/d/1t1Y4ExfvMmIfwRjINFvBxJiee3LI3L98/view?usp=drivesdk","Darkwing Duck Jump v2.1.pdf")</f>
        <v>Darkwing Duck Jump v2.1.pdf</v>
      </c>
      <c r="B2791" s="12" t="str">
        <f t="shared" si="252"/>
        <v>Reddit Jumpchain Drive/Completed/Named Folders of Reddit/Disney</v>
      </c>
    </row>
    <row r="2792">
      <c r="A2792" s="12" t="str">
        <f>HYPERLINK("https://drive.google.com/file/d/1w9h7mPNoULOUFrM0t3RZOv0e-LvCuqlX/view?usp=drivesdk","Mary Poppins Returns v1.0 - Google Docs.pdf")</f>
        <v>Mary Poppins Returns v1.0 - Google Docs.pdf</v>
      </c>
      <c r="B2792" s="12" t="str">
        <f t="shared" si="252"/>
        <v>Reddit Jumpchain Drive/Completed/Named Folders of Reddit/Disney</v>
      </c>
    </row>
    <row r="2793">
      <c r="A2793" s="12" t="str">
        <f>HYPERLINK("https://drive.google.com/file/d/1OIgoGjutH9ja7xhgnwVYDQdMt62f0Vph/view?usp=drivesdk","Big Hero 6 JumpDoc 1.0")</f>
        <v>Big Hero 6 JumpDoc 1.0</v>
      </c>
      <c r="B2793" s="12" t="str">
        <f t="shared" si="252"/>
        <v>Reddit Jumpchain Drive/Completed/Named Folders of Reddit/Disney</v>
      </c>
    </row>
    <row r="2794">
      <c r="A2794" s="12" t="str">
        <f>HYPERLINK("https://drive.google.com/file/d/1nIivFQeZJUQPs7_HxpzoM0RkCcU9LAHU/view?usp=drivesdk","Updated Star vs the Forces of Evil.pdf")</f>
        <v>Updated Star vs the Forces of Evil.pdf</v>
      </c>
      <c r="B2794" s="12" t="str">
        <f t="shared" si="252"/>
        <v>Reddit Jumpchain Drive/Completed/Named Folders of Reddit/Disney</v>
      </c>
    </row>
    <row r="2795">
      <c r="A2795" s="12" t="str">
        <f>HYPERLINK("https://drive.google.com/file/d/1OSA4DnNXJ-RRsa3K7oFNMb6mqOI5OFMG/view?usp=drivesdk","Secret Saturday Jumpchain.pdf")</f>
        <v>Secret Saturday Jumpchain.pdf</v>
      </c>
      <c r="B2795" s="12" t="str">
        <f t="shared" ref="B2795:B2798" si="253">HYPERLINK("https://drive.google.com/drive/folders/1pGBtZHwdWyU-T5pmu4cydEeo18ePkHjx","Reddit Jumpchain Drive/Completed/Named Folders of Reddit/Cartoon Network")</f>
        <v>Reddit Jumpchain Drive/Completed/Named Folders of Reddit/Cartoon Network</v>
      </c>
    </row>
    <row r="2796">
      <c r="A2796" s="12" t="str">
        <f>HYPERLINK("https://drive.google.com/file/d/1Z-CWgckHcaakI2HdJw4XrXdZ6aFwZdPz/view?usp=drivesdk","Dexter_s Laboratory.pdf")</f>
        <v>Dexter_s Laboratory.pdf</v>
      </c>
      <c r="B2796" s="12" t="str">
        <f t="shared" si="253"/>
        <v>Reddit Jumpchain Drive/Completed/Named Folders of Reddit/Cartoon Network</v>
      </c>
    </row>
    <row r="2797">
      <c r="A2797" s="12" t="str">
        <f>HYPERLINK("https://drive.google.com/file/d/1f0KPE6CR6w3WDxA6lXd1JorJkQTMor_g/view?usp=drivesdk","Generator Rex Jump V1.0.pdf")</f>
        <v>Generator Rex Jump V1.0.pdf</v>
      </c>
      <c r="B2797" s="12" t="str">
        <f t="shared" si="253"/>
        <v>Reddit Jumpchain Drive/Completed/Named Folders of Reddit/Cartoon Network</v>
      </c>
    </row>
    <row r="2798">
      <c r="A2798" s="12" t="str">
        <f>HYPERLINK("https://drive.google.com/file/d/1eBSF7q13TGerduuVjoIB4soZ2TFFxq3-/view?usp=drivesdk","Ben 10 0.1 Jumpchain")</f>
        <v>Ben 10 0.1 Jumpchain</v>
      </c>
      <c r="B2798" s="12" t="str">
        <f t="shared" si="253"/>
        <v>Reddit Jumpchain Drive/Completed/Named Folders of Reddit/Cartoon Network</v>
      </c>
    </row>
    <row r="2799">
      <c r="A2799" s="12" t="str">
        <f>HYPERLINK("https://drive.google.com/file/d/11o-Uv80zixmNOHLwF6cLEzKD7NL4ty38/view?usp=drivesdk","Powerpuff Girls JumpChain (Gorillaz Update).pdf")</f>
        <v>Powerpuff Girls JumpChain (Gorillaz Update).pdf</v>
      </c>
      <c r="B2799" s="12" t="str">
        <f t="shared" ref="B2799:B2801" si="254">HYPERLINK("https://drive.google.com/drive/folders/1lrYdIfcxAJKJetePqPYGuS9mIFU35Tsu","Reddit Jumpchain Drive/Completed/Named Folders of Reddit/Cartoon Network/Powerpuff Girls")</f>
        <v>Reddit Jumpchain Drive/Completed/Named Folders of Reddit/Cartoon Network/Powerpuff Girls</v>
      </c>
    </row>
    <row r="2800">
      <c r="A2800" s="12" t="str">
        <f>HYPERLINK("https://drive.google.com/file/d/1LAAQdTmCsOl_jdzdbPWYiV-t04e9OfOy/view?usp=drivesdk","Powerpuff Girls JumpChain.pdf")</f>
        <v>Powerpuff Girls JumpChain.pdf</v>
      </c>
      <c r="B2800" s="12" t="str">
        <f t="shared" si="254"/>
        <v>Reddit Jumpchain Drive/Completed/Named Folders of Reddit/Cartoon Network/Powerpuff Girls</v>
      </c>
    </row>
    <row r="2801">
      <c r="A2801" s="12" t="str">
        <f>HYPERLINK("https://drive.google.com/file/d/1BbRnE6pH-YW0ItjjHH2B89scaTErdwdq/view?usp=drivesdk","Powerpuff Girls Jump (Reddit)")</f>
        <v>Powerpuff Girls Jump (Reddit)</v>
      </c>
      <c r="B2801" s="12" t="str">
        <f t="shared" si="254"/>
        <v>Reddit Jumpchain Drive/Completed/Named Folders of Reddit/Cartoon Network/Powerpuff Girls</v>
      </c>
    </row>
    <row r="2802">
      <c r="A2802" s="12" t="str">
        <f>HYPERLINK("https://drive.google.com/file/d/16x2EBRlGSfUg--uhEAC2ULbTQrF3qvhi/view?usp=drivesdk","Batman VS TMNT Jumpchain.pdf")</f>
        <v>Batman VS TMNT Jumpchain.pdf</v>
      </c>
      <c r="B2802" s="12" t="str">
        <f t="shared" ref="B2802:B2803" si="255">HYPERLINK("https://drive.google.com/drive/folders/1rBcuGRxzRrgraZ_x7G8CFmEWhJm-STAl","Reddit Jumpchain Drive/Completed/Named Folders of Reddit/TMNT")</f>
        <v>Reddit Jumpchain Drive/Completed/Named Folders of Reddit/TMNT</v>
      </c>
    </row>
    <row r="2803">
      <c r="A2803" s="12" t="str">
        <f>HYPERLINK("https://drive.google.com/file/d/1zMqLAEbjJxgnObJeIOCOnHMcVHq8Zxec/view?usp=drivesdk","TMNT 2012.pdf")</f>
        <v>TMNT 2012.pdf</v>
      </c>
      <c r="B2803" s="12" t="str">
        <f t="shared" si="255"/>
        <v>Reddit Jumpchain Drive/Completed/Named Folders of Reddit/TMNT</v>
      </c>
    </row>
    <row r="2804">
      <c r="A2804" s="12" t="str">
        <f>HYPERLINK("https://drive.google.com/file/d/1dgJiMNfws4VdFJ1OPCyI4EBo5RZpj6nz/view?usp=drivesdk","TES_ Werebeasts.pdf")</f>
        <v>TES_ Werebeasts.pdf</v>
      </c>
      <c r="B2804" s="12" t="str">
        <f t="shared" ref="B2804:B2812" si="256">HYPERLINK("https://drive.google.com/drive/folders/1RB3pNSt8dISAIyP4auKiYc-3kHcr9c7V","Reddit Jumpchain Drive/Completed/Named Folders of Reddit/Elder Scrolls")</f>
        <v>Reddit Jumpchain Drive/Completed/Named Folders of Reddit/Elder Scrolls</v>
      </c>
    </row>
    <row r="2805">
      <c r="A2805" s="12" t="str">
        <f>HYPERLINK("https://drive.google.com/file/d/1R1wAlAQlDXR_8e2sGsYNkgy781XG-U_k/view?usp=drivesdk","TES_ Magic.pdf")</f>
        <v>TES_ Magic.pdf</v>
      </c>
      <c r="B2805" s="12" t="str">
        <f t="shared" si="256"/>
        <v>Reddit Jumpchain Drive/Completed/Named Folders of Reddit/Elder Scrolls</v>
      </c>
    </row>
    <row r="2806">
      <c r="A2806" s="12" t="str">
        <f>HYPERLINK("https://drive.google.com/file/d/1sag3LWjvEYF97O6jG_Z77SLTKsbSHy1g/view?usp=drivesdk","TES_ Dovah.pdf")</f>
        <v>TES_ Dovah.pdf</v>
      </c>
      <c r="B2806" s="12" t="str">
        <f t="shared" si="256"/>
        <v>Reddit Jumpchain Drive/Completed/Named Folders of Reddit/Elder Scrolls</v>
      </c>
    </row>
    <row r="2807">
      <c r="A2807" s="12" t="str">
        <f>HYPERLINK("https://drive.google.com/file/d/19tkDgp36afs3cG1-eeI8sOIW4bSuhtWh/view?usp=drivesdk","TES_ Undead.pdf")</f>
        <v>TES_ Undead.pdf</v>
      </c>
      <c r="B2807" s="12" t="str">
        <f t="shared" si="256"/>
        <v>Reddit Jumpchain Drive/Completed/Named Folders of Reddit/Elder Scrolls</v>
      </c>
    </row>
    <row r="2808">
      <c r="A2808" s="12" t="str">
        <f>HYPERLINK("https://drive.google.com/file/d/1DWaSLQNF133ogvyEopFvRkTKhOsOpyUL/view?usp=drivesdk","TES_ Undead.pdf")</f>
        <v>TES_ Undead.pdf</v>
      </c>
      <c r="B2808" s="12" t="str">
        <f t="shared" si="256"/>
        <v>Reddit Jumpchain Drive/Completed/Named Folders of Reddit/Elder Scrolls</v>
      </c>
    </row>
    <row r="2809">
      <c r="A2809" s="12" t="str">
        <f>HYPERLINK("https://drive.google.com/file/d/1o_DNsGsUxyemC-9XRStA36sOriV9KT20/view?usp=drivesdk","The Elder Scrolls Series.pdf")</f>
        <v>The Elder Scrolls Series.pdf</v>
      </c>
      <c r="B2809" s="12" t="str">
        <f t="shared" si="256"/>
        <v>Reddit Jumpchain Drive/Completed/Named Folders of Reddit/Elder Scrolls</v>
      </c>
    </row>
    <row r="2810">
      <c r="A2810" s="12" t="str">
        <f>HYPERLINK("https://drive.google.com/file/d/1_0gSc5MaD5fM3fo2A2jKUzutfCarHoUF/view?usp=drivesdk","The Elder Scrolls III Morrowind Jumpchain.pdf")</f>
        <v>The Elder Scrolls III Morrowind Jumpchain.pdf</v>
      </c>
      <c r="B2810" s="12" t="str">
        <f t="shared" si="256"/>
        <v>Reddit Jumpchain Drive/Completed/Named Folders of Reddit/Elder Scrolls</v>
      </c>
    </row>
    <row r="2811">
      <c r="A2811" s="12" t="str">
        <f>HYPERLINK("https://drive.google.com/file/d/1ja1En6ZFa1-5AXfjsRK_X5jWu-vGehfc/view?usp=drivesdk","Elder Scrolls Skyrim SB Jump.pdf")</f>
        <v>Elder Scrolls Skyrim SB Jump.pdf</v>
      </c>
      <c r="B2811" s="12" t="str">
        <f t="shared" si="256"/>
        <v>Reddit Jumpchain Drive/Completed/Named Folders of Reddit/Elder Scrolls</v>
      </c>
    </row>
    <row r="2812">
      <c r="A2812" s="12" t="str">
        <f>HYPERLINK("https://drive.google.com/file/d/17509SJklKNg8gHg2MS_MertJ1_r0NzGL/view?usp=drivesdk","Elder Scrolls Civil War Jumpchain.pdf")</f>
        <v>Elder Scrolls Civil War Jumpchain.pdf</v>
      </c>
      <c r="B2812" s="12" t="str">
        <f t="shared" si="256"/>
        <v>Reddit Jumpchain Drive/Completed/Named Folders of Reddit/Elder Scrolls</v>
      </c>
    </row>
    <row r="2813">
      <c r="A2813" s="12" t="str">
        <f>HYPERLINK("https://drive.google.com/file/d/1W8d6hCOvIl4QKSCqoUuAYUmK3l7TlmpJ/view?usp=drivesdk","My Little Pony Friendship Is Magic v1.2 (White Background).pdf")</f>
        <v>My Little Pony Friendship Is Magic v1.2 (White Background).pdf</v>
      </c>
      <c r="B2813" s="12" t="str">
        <f t="shared" ref="B2813:B2818" si="257">HYPERLINK("https://drive.google.com/drive/folders/1ibcTJX2T2_T2JjGSEToM1U5LtVW-qmSu","Reddit Jumpchain Drive/Completed/Named Folders of Reddit/My Little Pony: Friendship is Magic")</f>
        <v>Reddit Jumpchain Drive/Completed/Named Folders of Reddit/My Little Pony: Friendship is Magic</v>
      </c>
    </row>
    <row r="2814">
      <c r="A2814" s="12" t="str">
        <f>HYPERLINK("https://drive.google.com/file/d/1JmnKGKF6qDd2j6nY-6M9nLnwTvqZox-r/view?usp=drivesdk","MLP Project Jump v1.1.pdf")</f>
        <v>MLP Project Jump v1.1.pdf</v>
      </c>
      <c r="B2814" s="12" t="str">
        <f t="shared" si="257"/>
        <v>Reddit Jumpchain Drive/Completed/Named Folders of Reddit/My Little Pony: Friendship is Magic</v>
      </c>
    </row>
    <row r="2815">
      <c r="A2815" s="12" t="str">
        <f>HYPERLINK("https://drive.google.com/file/d/1iwfmaVEf46_tOSy_a46xzW6dywr7cLqw/view?usp=drivesdk","Fallout Equestria Jumpchain.pdf")</f>
        <v>Fallout Equestria Jumpchain.pdf</v>
      </c>
      <c r="B2815" s="12" t="str">
        <f t="shared" si="257"/>
        <v>Reddit Jumpchain Drive/Completed/Named Folders of Reddit/My Little Pony: Friendship is Magic</v>
      </c>
    </row>
    <row r="2816">
      <c r="A2816" s="12" t="str">
        <f>HYPERLINK("https://drive.google.com/file/d/1E90gXDsQeRAiscLWxiBcZTFRAbcq9fT3/view?usp=drivesdk","MLP Empires of Legends Jumpchain.pdf")</f>
        <v>MLP Empires of Legends Jumpchain.pdf</v>
      </c>
      <c r="B2816" s="12" t="str">
        <f t="shared" si="257"/>
        <v>Reddit Jumpchain Drive/Completed/Named Folders of Reddit/My Little Pony: Friendship is Magic</v>
      </c>
    </row>
    <row r="2817">
      <c r="A2817" s="12" t="str">
        <f>HYPERLINK("https://drive.google.com/file/d/1I69Wv4dMVJ6uyPzwys9SvnN6c79BqNcF/view?usp=drivesdk","My Little Pony Friendship Is Magic v1.2.pdf")</f>
        <v>My Little Pony Friendship Is Magic v1.2.pdf</v>
      </c>
      <c r="B2817" s="12" t="str">
        <f t="shared" si="257"/>
        <v>Reddit Jumpchain Drive/Completed/Named Folders of Reddit/My Little Pony: Friendship is Magic</v>
      </c>
    </row>
    <row r="2818">
      <c r="A2818" s="12" t="str">
        <f>HYPERLINK("https://drive.google.com/file/d/148w422ZtHZfneB84Gfx_BYSUvwmjoALE/view?usp=drivesdk","Equestria At War Jumpchain v1.0")</f>
        <v>Equestria At War Jumpchain v1.0</v>
      </c>
      <c r="B2818" s="12" t="str">
        <f t="shared" si="257"/>
        <v>Reddit Jumpchain Drive/Completed/Named Folders of Reddit/My Little Pony: Friendship is Magic</v>
      </c>
    </row>
    <row r="2819">
      <c r="A2819" s="12" t="str">
        <f>HYPERLINK("https://drive.google.com/file/d/1JkOpxHnZZbH09Ez-3r0qRaHzfnHvDYUd/view?usp=drivesdk","KoF NESTS Chronicles Jumpchain v.1.pdf")</f>
        <v>KoF NESTS Chronicles Jumpchain v.1.pdf</v>
      </c>
      <c r="B2819" s="12" t="str">
        <f t="shared" ref="B2819:B2821" si="258">HYPERLINK("https://drive.google.com/drive/folders/1kvOI13tgf0OGFZ2sh3qDHKOJlz2QdUrj","Reddit Jumpchain Drive/Completed/Named Folders of Reddit/King of Fighters")</f>
        <v>Reddit Jumpchain Drive/Completed/Named Folders of Reddit/King of Fighters</v>
      </c>
    </row>
    <row r="2820">
      <c r="A2820" s="12" t="str">
        <f>HYPERLINK("https://drive.google.com/file/d/1-OoX3i-vDIpUL9XX0Os3-5C8z4fioN9Z/view?usp=drivesdk","KoF Orochi Saga Jumpchain v.1.pdf")</f>
        <v>KoF Orochi Saga Jumpchain v.1.pdf</v>
      </c>
      <c r="B2820" s="12" t="str">
        <f t="shared" si="258"/>
        <v>Reddit Jumpchain Drive/Completed/Named Folders of Reddit/King of Fighters</v>
      </c>
    </row>
    <row r="2821">
      <c r="A2821" s="12" t="str">
        <f>HYPERLINK("https://drive.google.com/file/d/1yZ7NBZeKDlO4ovvTI7tsYFl1c_r-N6Ph/view?usp=drivesdk","KoF Rugal Saga Jumpchain v.1.pdf")</f>
        <v>KoF Rugal Saga Jumpchain v.1.pdf</v>
      </c>
      <c r="B2821" s="12" t="str">
        <f t="shared" si="258"/>
        <v>Reddit Jumpchain Drive/Completed/Named Folders of Reddit/King of Fighters</v>
      </c>
    </row>
    <row r="2822">
      <c r="A2822" s="12" t="str">
        <f>HYPERLINK("https://drive.google.com/file/d/1eQFYBSa3VWqiQoBlRq83MCtOdyl-Z927/view?usp=drivesdk","Cultist Simulator Exile Suppliment V.1.pdf")</f>
        <v>Cultist Simulator Exile Suppliment V.1.pdf</v>
      </c>
      <c r="B2822" s="12" t="str">
        <f t="shared" ref="B2822:B2823" si="259">HYPERLINK("https://drive.google.com/drive/folders/1KPkGZ0GlH3elWP524DXhyzRr3kujsSvz","Reddit Jumpchain Drive/Completed/Named Folders of Reddit/Cultist Simulator")</f>
        <v>Reddit Jumpchain Drive/Completed/Named Folders of Reddit/Cultist Simulator</v>
      </c>
    </row>
    <row r="2823">
      <c r="A2823" s="12" t="str">
        <f>HYPERLINK("https://drive.google.com/file/d/16NyI_7L24bUjUF2l65a-UcLSukTvtzDN/view?usp=drivesdk","Cultist Simulator.pdf")</f>
        <v>Cultist Simulator.pdf</v>
      </c>
      <c r="B2823" s="12" t="str">
        <f t="shared" si="259"/>
        <v>Reddit Jumpchain Drive/Completed/Named Folders of Reddit/Cultist Simulator</v>
      </c>
    </row>
    <row r="2824">
      <c r="A2824" s="12" t="str">
        <f>HYPERLINK("https://drive.google.com/file/d/1IfiT0ILMSfVnqRdVvq-xWbkQ9WhrpOhD/view?usp=drivesdk","JoJo's Stand Builder JumpChain.pdf")</f>
        <v>JoJo's Stand Builder JumpChain.pdf</v>
      </c>
      <c r="B2824" s="12" t="str">
        <f t="shared" ref="B2824:B2828" si="260">HYPERLINK("https://drive.google.com/drive/folders/1A54q0c6QikYfHgH0F1FFp6Ug_LQ9Cv-4","Reddit Jumpchain Drive/Completed/Named Folders of Reddit/JoJo")</f>
        <v>Reddit Jumpchain Drive/Completed/Named Folders of Reddit/JoJo</v>
      </c>
    </row>
    <row r="2825">
      <c r="A2825" s="12" t="str">
        <f>HYPERLINK("https://drive.google.com/file/d/1G0HUeEKJc6hXYWNx-XEb4sGDVhLd4E7U/view?usp=drivesdk","JoJo’s Bizarre Adventure - Stardust Crusaders JumpChain.pdf")</f>
        <v>JoJo’s Bizarre Adventure - Stardust Crusaders JumpChain.pdf</v>
      </c>
      <c r="B2825" s="12" t="str">
        <f t="shared" si="260"/>
        <v>Reddit Jumpchain Drive/Completed/Named Folders of Reddit/JoJo</v>
      </c>
    </row>
    <row r="2826">
      <c r="A2826" s="12" t="str">
        <f>HYPERLINK("https://drive.google.com/file/d/1FV3JwH61ZwdQDTW-XvdG9Oqn9KsjHw6C/view?usp=drivesdk","JoJo’s Bizarre Adventure - Battle Tendency JumpChain.pdf")</f>
        <v>JoJo’s Bizarre Adventure - Battle Tendency JumpChain.pdf</v>
      </c>
      <c r="B2826" s="12" t="str">
        <f t="shared" si="260"/>
        <v>Reddit Jumpchain Drive/Completed/Named Folders of Reddit/JoJo</v>
      </c>
    </row>
    <row r="2827">
      <c r="A2827" s="12" t="str">
        <f>HYPERLINK("https://drive.google.com/file/d/1QRUBN-hKBkH_-KiGY4FFx1ou5M7aZCge/view?usp=drivesdk","Jojo Part 2.pdf")</f>
        <v>Jojo Part 2.pdf</v>
      </c>
      <c r="B2827" s="12" t="str">
        <f t="shared" si="260"/>
        <v>Reddit Jumpchain Drive/Completed/Named Folders of Reddit/JoJo</v>
      </c>
    </row>
    <row r="2828">
      <c r="A2828" s="12" t="str">
        <f>HYPERLINK("https://drive.google.com/file/d/1xkDdRoV2MHYrbldXJSjT47F-65ere16e/view?usp=drivesdk","JoJo’s Bizarre Adventure - Phantom Blood JumpChain V1.0.pdf")</f>
        <v>JoJo’s Bizarre Adventure - Phantom Blood JumpChain V1.0.pdf</v>
      </c>
      <c r="B2828" s="12" t="str">
        <f t="shared" si="260"/>
        <v>Reddit Jumpchain Drive/Completed/Named Folders of Reddit/JoJo</v>
      </c>
    </row>
    <row r="2829">
      <c r="A2829" s="12" t="str">
        <f>HYPERLINK("https://drive.google.com/file/d/1SrTRtiB1IMDAt291_5Fuwala_4kgSYhq/view?usp=drivesdk","DmC; Devil May Cry (The Reboot) Jump 1.2.pdf")</f>
        <v>DmC; Devil May Cry (The Reboot) Jump 1.2.pdf</v>
      </c>
      <c r="B2829" s="12" t="str">
        <f t="shared" ref="B2829:B3132" si="261">HYPERLINK("https://drive.google.com/drive/folders/1_pqHY7qSVQwyDoMCJq8pMfwkfFF4L0-a","Reddit Jumpchain Drive/Completed/Named Folders of Reddit/Previous version of Reddit Jumps")</f>
        <v>Reddit Jumpchain Drive/Completed/Named Folders of Reddit/Previous version of Reddit Jumps</v>
      </c>
    </row>
    <row r="2830">
      <c r="A2830" s="12" t="str">
        <f>HYPERLINK("https://drive.google.com/file/d/1fECNWHyfrxxq9_NTdTTS4qElos4kCLaE/view?usp=drivesdk","DmC; Devil May Cry (The Reboot) Jump 1.1.pdf")</f>
        <v>DmC; Devil May Cry (The Reboot) Jump 1.1.pdf</v>
      </c>
      <c r="B2830" s="12" t="str">
        <f t="shared" si="261"/>
        <v>Reddit Jumpchain Drive/Completed/Named Folders of Reddit/Previous version of Reddit Jumps</v>
      </c>
    </row>
    <row r="2831">
      <c r="A2831" s="12" t="str">
        <f>HYPERLINK("https://drive.google.com/file/d/1kuoUCEZvDtLRvmwPskJ30fO0z9LyOpQG/view?usp=drivesdk","DmC; Devil May Cry (The Reboot) Jump.pdf")</f>
        <v>DmC; Devil May Cry (The Reboot) Jump.pdf</v>
      </c>
      <c r="B2831" s="12" t="str">
        <f t="shared" si="261"/>
        <v>Reddit Jumpchain Drive/Completed/Named Folders of Reddit/Previous version of Reddit Jumps</v>
      </c>
    </row>
    <row r="2832">
      <c r="A2832" s="12" t="str">
        <f>HYPERLINK("https://drive.google.com/file/d/143HrbQkvcGkTQBP2Q-25mS17tM3ltwRS/view?usp=drivesdk","Infinity Blade Jumpchain.pdf")</f>
        <v>Infinity Blade Jumpchain.pdf</v>
      </c>
      <c r="B2832" s="12" t="str">
        <f t="shared" si="261"/>
        <v>Reddit Jumpchain Drive/Completed/Named Folders of Reddit/Previous version of Reddit Jumps</v>
      </c>
    </row>
    <row r="2833">
      <c r="A2833" s="12" t="str">
        <f>HYPERLINK("https://drive.google.com/file/d/175hQrLCKU1LG61nq0EMh2r4gKZnsgxD0/view?usp=drivesdk","Transformers (Michael Bay) Jump.pdf")</f>
        <v>Transformers (Michael Bay) Jump.pdf</v>
      </c>
      <c r="B2833" s="12" t="str">
        <f t="shared" si="261"/>
        <v>Reddit Jumpchain Drive/Completed/Named Folders of Reddit/Previous version of Reddit Jumps</v>
      </c>
    </row>
    <row r="2834">
      <c r="A2834" s="12" t="str">
        <f>HYPERLINK("https://drive.google.com/file/d/1l62psrHbTeWaI_TKY5jv47lablW9ehve/view?usp=drivesdk","Transformers (Michael Bay) Jump.pdf")</f>
        <v>Transformers (Michael Bay) Jump.pdf</v>
      </c>
      <c r="B2834" s="12" t="str">
        <f t="shared" si="261"/>
        <v>Reddit Jumpchain Drive/Completed/Named Folders of Reddit/Previous version of Reddit Jumps</v>
      </c>
    </row>
    <row r="2835">
      <c r="A2835" s="12" t="str">
        <f>HYPERLINK("https://drive.google.com/file/d/1wmiD2HXuu5hsvyCEikkptUyhRj4makNI/view?usp=drivesdk","Rick and Morty Jump 1.3.pdf")</f>
        <v>Rick and Morty Jump 1.3.pdf</v>
      </c>
      <c r="B2835" s="12" t="str">
        <f t="shared" si="261"/>
        <v>Reddit Jumpchain Drive/Completed/Named Folders of Reddit/Previous version of Reddit Jumps</v>
      </c>
    </row>
    <row r="2836">
      <c r="A2836" s="12" t="str">
        <f>HYPERLINK("https://drive.google.com/file/d/1rfUE0una2xJ1ypIlJ3VfR_0zS7NR-99F/view?usp=drivesdk","Rick and Morty Jump 1.2.pdf")</f>
        <v>Rick and Morty Jump 1.2.pdf</v>
      </c>
      <c r="B2836" s="12" t="str">
        <f t="shared" si="261"/>
        <v>Reddit Jumpchain Drive/Completed/Named Folders of Reddit/Previous version of Reddit Jumps</v>
      </c>
    </row>
    <row r="2837">
      <c r="A2837" s="12" t="str">
        <f>HYPERLINK("https://drive.google.com/file/d/1HnVZuyEgtm0RNoDY-XrsQnIc7oQztpdv/view?usp=drivesdk","Flinstones x Jetsons v1.0.pdf")</f>
        <v>Flinstones x Jetsons v1.0.pdf</v>
      </c>
      <c r="B2837" s="12" t="str">
        <f t="shared" si="261"/>
        <v>Reddit Jumpchain Drive/Completed/Named Folders of Reddit/Previous version of Reddit Jumps</v>
      </c>
    </row>
    <row r="2838">
      <c r="A2838" s="12" t="str">
        <f>HYPERLINK("https://drive.google.com/file/d/1V_1FjTwMDlqXlHEu5M5W0lqU6GJyhRCA/view?usp=drivesdk","Rick and Morty Jump.pdf")</f>
        <v>Rick and Morty Jump.pdf</v>
      </c>
      <c r="B2838" s="12" t="str">
        <f t="shared" si="261"/>
        <v>Reddit Jumpchain Drive/Completed/Named Folders of Reddit/Previous version of Reddit Jumps</v>
      </c>
    </row>
    <row r="2839">
      <c r="A2839" s="12" t="str">
        <f>HYPERLINK("https://docs.google.com/document/d/1GU6w9fYfjGozZE1PoePQS6JSWAP7g4BjWGl5VstZhrw/edit?usp=drivesdk","Rick and Morty Jump")</f>
        <v>Rick and Morty Jump</v>
      </c>
      <c r="B2839" s="12" t="str">
        <f t="shared" si="261"/>
        <v>Reddit Jumpchain Drive/Completed/Named Folders of Reddit/Previous version of Reddit Jumps</v>
      </c>
    </row>
    <row r="2840">
      <c r="A2840" s="12" t="str">
        <f>HYPERLINK("https://drive.google.com/file/d/1MJWJQBagcnri-PvyM8Yau_KY8srMjU5c/view?usp=drivesdk","Rick and Morty Jump.pdf")</f>
        <v>Rick and Morty Jump.pdf</v>
      </c>
      <c r="B2840" s="12" t="str">
        <f t="shared" si="261"/>
        <v>Reddit Jumpchain Drive/Completed/Named Folders of Reddit/Previous version of Reddit Jumps</v>
      </c>
    </row>
    <row r="2841">
      <c r="A2841" s="12" t="str">
        <f>HYPERLINK("https://drive.google.com/file/d/1nGOoOmHF7sTuREQbOEwdNdDCXOn5_iFo/view?usp=drivesdk","Cast Away jump.pdf")</f>
        <v>Cast Away jump.pdf</v>
      </c>
      <c r="B2841" s="12" t="str">
        <f t="shared" si="261"/>
        <v>Reddit Jumpchain Drive/Completed/Named Folders of Reddit/Previous version of Reddit Jumps</v>
      </c>
    </row>
    <row r="2842">
      <c r="A2842" s="12" t="str">
        <f>HYPERLINK("https://docs.google.com/document/d/1w11bDY2MIxSBzFLZIKB_-ad7QJpv3-nboagGOKPfzBI/edit?usp=drivesdk","Cast Away jump")</f>
        <v>Cast Away jump</v>
      </c>
      <c r="B2842" s="12" t="str">
        <f t="shared" si="261"/>
        <v>Reddit Jumpchain Drive/Completed/Named Folders of Reddit/Previous version of Reddit Jumps</v>
      </c>
    </row>
    <row r="2843">
      <c r="A2843" s="12" t="str">
        <f>HYPERLINK("https://drive.google.com/file/d/1H2xS4H6OYIVV5if_YSvnNuaoyT3RY7UD/view?usp=drivesdk","Cast Away jump.pdf")</f>
        <v>Cast Away jump.pdf</v>
      </c>
      <c r="B2843" s="12" t="str">
        <f t="shared" si="261"/>
        <v>Reddit Jumpchain Drive/Completed/Named Folders of Reddit/Previous version of Reddit Jumps</v>
      </c>
    </row>
    <row r="2844">
      <c r="A2844" s="12" t="str">
        <f>HYPERLINK("https://drive.google.com/file/d/12_0yo0CUZaWJfw3g886ny26HBdl1FoFl/view?usp=drivesdk","Elden Ring jumpchain V 1.0.pdf")</f>
        <v>Elden Ring jumpchain V 1.0.pdf</v>
      </c>
      <c r="B2844" s="12" t="str">
        <f t="shared" si="261"/>
        <v>Reddit Jumpchain Drive/Completed/Named Folders of Reddit/Previous version of Reddit Jumps</v>
      </c>
    </row>
    <row r="2845">
      <c r="A2845" s="12" t="str">
        <f>HYPERLINK("https://docs.google.com/document/d/1SdaTZCKWhojXUOeuyNBzkNn8ctagLh5hgnHiGKsb-7A/edit?usp=drivesdk","war of the jumper (end jump, hero version) [initial release version]")</f>
        <v>war of the jumper (end jump, hero version) [initial release version]</v>
      </c>
      <c r="B2845" s="12" t="str">
        <f t="shared" si="261"/>
        <v>Reddit Jumpchain Drive/Completed/Named Folders of Reddit/Previous version of Reddit Jumps</v>
      </c>
    </row>
    <row r="2846">
      <c r="A2846" s="12" t="str">
        <f>HYPERLINK("https://drive.google.com/file/d/1abTlktt8_MtIDhAZ2kSEQxi33Om75ZgI/view?usp=drivesdk","Copy of Terminator Jump.pdf")</f>
        <v>Copy of Terminator Jump.pdf</v>
      </c>
      <c r="B2846" s="12" t="str">
        <f t="shared" si="261"/>
        <v>Reddit Jumpchain Drive/Completed/Named Folders of Reddit/Previous version of Reddit Jumps</v>
      </c>
    </row>
    <row r="2847">
      <c r="A2847" s="12" t="str">
        <f>HYPERLINK("https://drive.google.com/file/d/10Lg8Bs4wzwMtbrmofq--t3ILZzagmg99/view?usp=drivesdk","Sundered_0.1.pdf")</f>
        <v>Sundered_0.1.pdf</v>
      </c>
      <c r="B2847" s="12" t="str">
        <f t="shared" si="261"/>
        <v>Reddit Jumpchain Drive/Completed/Named Folders of Reddit/Previous version of Reddit Jumps</v>
      </c>
    </row>
    <row r="2848">
      <c r="A2848" s="12" t="str">
        <f>HYPERLINK("https://drive.google.com/file/d/1ZPrilzK1JKqyTm45ccwH_WhN_NMp_oI3/view?usp=drivesdk","Pokemon Legends Arceus v1.pdf")</f>
        <v>Pokemon Legends Arceus v1.pdf</v>
      </c>
      <c r="B2848" s="12" t="str">
        <f t="shared" si="261"/>
        <v>Reddit Jumpchain Drive/Completed/Named Folders of Reddit/Previous version of Reddit Jumps</v>
      </c>
    </row>
    <row r="2849">
      <c r="A2849" s="12" t="str">
        <f>HYPERLINK("https://drive.google.com/file/d/1JG-sZ4jon-jvv4zyLSJXD3VsXsoy4_Mz/view?usp=drivesdk","Wings in the Night Jump.pdf")</f>
        <v>Wings in the Night Jump.pdf</v>
      </c>
      <c r="B2849" s="12" t="str">
        <f t="shared" si="261"/>
        <v>Reddit Jumpchain Drive/Completed/Named Folders of Reddit/Previous version of Reddit Jumps</v>
      </c>
    </row>
    <row r="2850">
      <c r="A2850" s="12" t="str">
        <f>HYPERLINK("https://drive.google.com/file/d/1DUjsHSs9TMhn6IJY73WlarCqnmk-KEqP/view?usp=drivesdk","Loonatics Unleashed.pdf")</f>
        <v>Loonatics Unleashed.pdf</v>
      </c>
      <c r="B2850" s="12" t="str">
        <f t="shared" si="261"/>
        <v>Reddit Jumpchain Drive/Completed/Named Folders of Reddit/Previous version of Reddit Jumps</v>
      </c>
    </row>
    <row r="2851">
      <c r="A2851" s="12" t="str">
        <f>HYPERLINK("https://docs.google.com/document/d/1CIlYtgjWa-hCsnS9mr7BG2rGat7I4EFHIHmSMnJv6cM/edit?usp=drivesdk","Tenshi no Tamago Jumpchain")</f>
        <v>Tenshi no Tamago Jumpchain</v>
      </c>
      <c r="B2851" s="12" t="str">
        <f t="shared" si="261"/>
        <v>Reddit Jumpchain Drive/Completed/Named Folders of Reddit/Previous version of Reddit Jumps</v>
      </c>
    </row>
    <row r="2852">
      <c r="A2852" s="12" t="str">
        <f>HYPERLINK("https://drive.google.com/file/d/1QCYyxiIDi1QGLJSkZKcl8WmFwnZnl_M2/view?usp=drivesdk","The Troop Jumpchain.pdf")</f>
        <v>The Troop Jumpchain.pdf</v>
      </c>
      <c r="B2852" s="12" t="str">
        <f t="shared" si="261"/>
        <v>Reddit Jumpchain Drive/Completed/Named Folders of Reddit/Previous version of Reddit Jumps</v>
      </c>
    </row>
    <row r="2853">
      <c r="A2853" s="12" t="str">
        <f>HYPERLINK("https://drive.google.com/file/d/1iYIznZHkifsMJdeXJq1vu00zRZD0F0oo/view?usp=drivesdk","Be More Chill Jumpchain Gauntlet v1.0.pdf")</f>
        <v>Be More Chill Jumpchain Gauntlet v1.0.pdf</v>
      </c>
      <c r="B2853" s="12" t="str">
        <f t="shared" si="261"/>
        <v>Reddit Jumpchain Drive/Completed/Named Folders of Reddit/Previous version of Reddit Jumps</v>
      </c>
    </row>
    <row r="2854">
      <c r="A2854" s="12" t="str">
        <f>HYPERLINK("https://drive.google.com/file/d/1UsAegiUV12vdna7wosO_HIyAP8m00q2H/view?usp=drivesdk","Lord El-Melloi Case Files Jumpchain 3.0.pdf")</f>
        <v>Lord El-Melloi Case Files Jumpchain 3.0.pdf</v>
      </c>
      <c r="B2854" s="12" t="str">
        <f t="shared" si="261"/>
        <v>Reddit Jumpchain Drive/Completed/Named Folders of Reddit/Previous version of Reddit Jumps</v>
      </c>
    </row>
    <row r="2855">
      <c r="A2855" s="12" t="str">
        <f>HYPERLINK("https://drive.google.com/file/d/1R-V1MzKuo2jOZJ_Kw_gcA5oLzBtBr22O/view?usp=drivesdk","Generic My Hero Academia Fanfic V1.pdf")</f>
        <v>Generic My Hero Academia Fanfic V1.pdf</v>
      </c>
      <c r="B2855" s="12" t="str">
        <f t="shared" si="261"/>
        <v>Reddit Jumpchain Drive/Completed/Named Folders of Reddit/Previous version of Reddit Jumps</v>
      </c>
    </row>
    <row r="2856">
      <c r="A2856" s="12" t="str">
        <f>HYPERLINK("https://drive.google.com/file/d/1AEXGU2kM3V_KHD2dNJERTxrF3-wFfQdr/view?usp=drivesdk","Hotel Transylvania.docx.pdf")</f>
        <v>Hotel Transylvania.docx.pdf</v>
      </c>
      <c r="B2856" s="12" t="str">
        <f t="shared" si="261"/>
        <v>Reddit Jumpchain Drive/Completed/Named Folders of Reddit/Previous version of Reddit Jumps</v>
      </c>
    </row>
    <row r="2857">
      <c r="A2857" s="12" t="str">
        <f>HYPERLINK("https://drive.google.com/file/d/1jqGx1Wpoml9GgF5bIs4AK3bBgRVX2Skd/view?usp=drivesdk","Iceborne Monster Creator Supplement")</f>
        <v>Iceborne Monster Creator Supplement</v>
      </c>
      <c r="B2857" s="12" t="str">
        <f t="shared" si="261"/>
        <v>Reddit Jumpchain Drive/Completed/Named Folders of Reddit/Previous version of Reddit Jumps</v>
      </c>
    </row>
    <row r="2858">
      <c r="A2858" s="12" t="str">
        <f>HYPERLINK("https://drive.google.com/file/d/1YVzp6vjJvXAyoXY_jBKKp2TDzpfj5uIQ/view?usp=drivesdk","Generic Werewolf v2.1.pdf")</f>
        <v>Generic Werewolf v2.1.pdf</v>
      </c>
      <c r="B2858" s="12" t="str">
        <f t="shared" si="261"/>
        <v>Reddit Jumpchain Drive/Completed/Named Folders of Reddit/Previous version of Reddit Jumps</v>
      </c>
    </row>
    <row r="2859">
      <c r="A2859" s="12" t="str">
        <f>HYPERLINK("https://drive.google.com/file/d/1ICFBKBXl8105szKCXdgm7IuqH1_oRXZW/view?usp=drivesdk","Sacred_ Underworld 1.1.pdf")</f>
        <v>Sacred_ Underworld 1.1.pdf</v>
      </c>
      <c r="B2859" s="12" t="str">
        <f t="shared" si="261"/>
        <v>Reddit Jumpchain Drive/Completed/Named Folders of Reddit/Previous version of Reddit Jumps</v>
      </c>
    </row>
    <row r="2860">
      <c r="A2860" s="12" t="str">
        <f>HYPERLINK("https://drive.google.com/file/d/1yj48RtADvFk70tBCjUxH2LmtGqdKv9yr/view?usp=drivesdk","Generic Werewolf v1.0.pdf")</f>
        <v>Generic Werewolf v1.0.pdf</v>
      </c>
      <c r="B2860" s="12" t="str">
        <f t="shared" si="261"/>
        <v>Reddit Jumpchain Drive/Completed/Named Folders of Reddit/Previous version of Reddit Jumps</v>
      </c>
    </row>
    <row r="2861">
      <c r="A2861" s="12" t="str">
        <f>HYPERLINK("https://drive.google.com/file/d/10z6_E8cT365-9ls-2IjKxqphGdsmiDyz/view?usp=drivesdk","Friday the 13th The Series.pdf")</f>
        <v>Friday the 13th The Series.pdf</v>
      </c>
      <c r="B2861" s="12" t="str">
        <f t="shared" si="261"/>
        <v>Reddit Jumpchain Drive/Completed/Named Folders of Reddit/Previous version of Reddit Jumps</v>
      </c>
    </row>
    <row r="2862">
      <c r="A2862" s="12" t="str">
        <f>HYPERLINK("https://drive.google.com/file/d/1RAyA98K_p0JifB1g4Z-K9l-elqTBoesV/view?usp=drivesdk","Dungeons the Dragoning 40'000_ 7th Edition 1.4.pdf")</f>
        <v>Dungeons the Dragoning 40'000_ 7th Edition 1.4.pdf</v>
      </c>
      <c r="B2862" s="12" t="str">
        <f t="shared" si="261"/>
        <v>Reddit Jumpchain Drive/Completed/Named Folders of Reddit/Previous version of Reddit Jumps</v>
      </c>
    </row>
    <row r="2863">
      <c r="A2863" s="12" t="str">
        <f>HYPERLINK("https://docs.google.com/document/d/13ZYGi3nLhv8jJZrwClMl839cvz_sOISBZu5wKPaaFQA/edit?usp=drivesdk","God Of War (2018) Jump")</f>
        <v>God Of War (2018) Jump</v>
      </c>
      <c r="B2863" s="12" t="str">
        <f t="shared" si="261"/>
        <v>Reddit Jumpchain Drive/Completed/Named Folders of Reddit/Previous version of Reddit Jumps</v>
      </c>
    </row>
    <row r="2864">
      <c r="A2864" s="12" t="str">
        <f>HYPERLINK("https://drive.google.com/file/d/1XsZI5ZuTuUTIAmBJurqA7KrOZMLSKlce/view?usp=drivesdk","Not Another D&amp;D Jumpchain v1.0.pdf")</f>
        <v>Not Another D&amp;D Jumpchain v1.0.pdf</v>
      </c>
      <c r="B2864" s="12" t="str">
        <f t="shared" si="261"/>
        <v>Reddit Jumpchain Drive/Completed/Named Folders of Reddit/Previous version of Reddit Jumps</v>
      </c>
    </row>
    <row r="2865">
      <c r="A2865" s="12" t="str">
        <f>HYPERLINK("https://drive.google.com/file/d/1XfuTT6HUTu9hpzKYwJwaC9CnGSBFjxnT/view?usp=drivesdk","Chaos Rings Jumpchain v1.pdf")</f>
        <v>Chaos Rings Jumpchain v1.pdf</v>
      </c>
      <c r="B2865" s="12" t="str">
        <f t="shared" si="261"/>
        <v>Reddit Jumpchain Drive/Completed/Named Folders of Reddit/Previous version of Reddit Jumps</v>
      </c>
    </row>
    <row r="2866">
      <c r="A2866" s="12" t="str">
        <f>HYPERLINK("https://drive.google.com/file/d/1PqqrJL9l_Wz58qCpfH01kUdCn-MXMl8e/view?usp=drivesdk","Project Sekai")</f>
        <v>Project Sekai</v>
      </c>
      <c r="B2866" s="12" t="str">
        <f t="shared" si="261"/>
        <v>Reddit Jumpchain Drive/Completed/Named Folders of Reddit/Previous version of Reddit Jumps</v>
      </c>
    </row>
    <row r="2867">
      <c r="A2867" s="12" t="str">
        <f>HYPERLINK("https://drive.google.com/file/d/1134au5u_aAJXCCL-fDXJpn_npdF07U-k/view?usp=drivesdk","Naruto Reddit_compressed.pdf")</f>
        <v>Naruto Reddit_compressed.pdf</v>
      </c>
      <c r="B2867" s="12" t="str">
        <f t="shared" si="261"/>
        <v>Reddit Jumpchain Drive/Completed/Named Folders of Reddit/Previous version of Reddit Jumps</v>
      </c>
    </row>
    <row r="2868">
      <c r="A2868" s="12" t="str">
        <f>HYPERLINK("https://docs.google.com/document/d/1PzY6yw4sb9umx_pGBt5ERa5mukw9qbjjd3z12s4EQA8/edit?usp=drivesdk","It’s a Wonderful Life Jumpchain")</f>
        <v>It’s a Wonderful Life Jumpchain</v>
      </c>
      <c r="B2868" s="12" t="str">
        <f t="shared" si="261"/>
        <v>Reddit Jumpchain Drive/Completed/Named Folders of Reddit/Previous version of Reddit Jumps</v>
      </c>
    </row>
    <row r="2869">
      <c r="A2869" s="12" t="str">
        <f>HYPERLINK("https://docs.google.com/document/d/1rJV8Ir4GxZwknkBRoD0ZpW9Uw4D6G5WyUEQe9Fnlzn0/edit?usp=drivesdk","Germanic_Norse Mythology Jump")</f>
        <v>Germanic_Norse Mythology Jump</v>
      </c>
      <c r="B2869" s="12" t="str">
        <f t="shared" si="261"/>
        <v>Reddit Jumpchain Drive/Completed/Named Folders of Reddit/Previous version of Reddit Jumps</v>
      </c>
    </row>
    <row r="2870">
      <c r="A2870" s="12" t="str">
        <f>HYPERLINK("https://drive.google.com/file/d/1lN7nGKTiwCoScbEbfpRqjcvGJ0bTWtMp/view?usp=drivesdk","Glitchtale Jump V1.1.pdf")</f>
        <v>Glitchtale Jump V1.1.pdf</v>
      </c>
      <c r="B2870" s="12" t="str">
        <f t="shared" si="261"/>
        <v>Reddit Jumpchain Drive/Completed/Named Folders of Reddit/Previous version of Reddit Jumps</v>
      </c>
    </row>
    <row r="2871">
      <c r="A2871" s="12" t="str">
        <f>HYPERLINK("https://drive.google.com/file/d/1bdAriLzMYH9zvzJ_7WgXMAS511iACuWW/view?usp=drivesdk","Generic Highschool DxD Fanfiction v1.1.pdf")</f>
        <v>Generic Highschool DxD Fanfiction v1.1.pdf</v>
      </c>
      <c r="B2871" s="12" t="str">
        <f t="shared" si="261"/>
        <v>Reddit Jumpchain Drive/Completed/Named Folders of Reddit/Previous version of Reddit Jumps</v>
      </c>
    </row>
    <row r="2872">
      <c r="A2872" s="12" t="str">
        <f>HYPERLINK("https://drive.google.com/file/d/10q2-X1IOI4NG0i4i-S3WeIhfcov0GLFG/view?usp=drivesdk","Generic Dragon Ball Fanfic V1.1.pdf")</f>
        <v>Generic Dragon Ball Fanfic V1.1.pdf</v>
      </c>
      <c r="B2872" s="12" t="str">
        <f t="shared" si="261"/>
        <v>Reddit Jumpchain Drive/Completed/Named Folders of Reddit/Previous version of Reddit Jumps</v>
      </c>
    </row>
    <row r="2873">
      <c r="A2873" s="12" t="str">
        <f>HYPERLINK("https://drive.google.com/file/d/1L_jGNZlVuaxoiz6izAHTwxvdhdiMwMLW/view?usp=drivesdk","I Hate Fairyland Jump v. 1.0.pdf")</f>
        <v>I Hate Fairyland Jump v. 1.0.pdf</v>
      </c>
      <c r="B2873" s="12" t="str">
        <f t="shared" si="261"/>
        <v>Reddit Jumpchain Drive/Completed/Named Folders of Reddit/Previous version of Reddit Jumps</v>
      </c>
    </row>
    <row r="2874">
      <c r="A2874" s="12" t="str">
        <f>HYPERLINK("https://drive.google.com/file/d/1Tw3675fs-RUGdvJv3uxnboT_5LqvmrGe/view?usp=drivesdk","Generic Warhammer 40K_ Fanfic (1).pdf")</f>
        <v>Generic Warhammer 40K_ Fanfic (1).pdf</v>
      </c>
      <c r="B2874" s="12" t="str">
        <f t="shared" si="261"/>
        <v>Reddit Jumpchain Drive/Completed/Named Folders of Reddit/Previous version of Reddit Jumps</v>
      </c>
    </row>
    <row r="2875">
      <c r="A2875" s="12" t="str">
        <f>HYPERLINK("https://drive.google.com/file/d/1IUeLmsCU6Zr56tJOIj9_pQYSzk8qjHtL/view?usp=drivesdk","Generic Warhammer 40K_ Fanfic.pdf")</f>
        <v>Generic Warhammer 40K_ Fanfic.pdf</v>
      </c>
      <c r="B2875" s="12" t="str">
        <f t="shared" si="261"/>
        <v>Reddit Jumpchain Drive/Completed/Named Folders of Reddit/Previous version of Reddit Jumps</v>
      </c>
    </row>
    <row r="2876">
      <c r="A2876" s="12" t="str">
        <f>HYPERLINK("https://drive.google.com/file/d/1r7NvWpQW48-ljIgjMYTL0FvFk0OnApz4/view?usp=drivesdk","Gall Force Jump.docx.pdf")</f>
        <v>Gall Force Jump.docx.pdf</v>
      </c>
      <c r="B2876" s="12" t="str">
        <f t="shared" si="261"/>
        <v>Reddit Jumpchain Drive/Completed/Named Folders of Reddit/Previous version of Reddit Jumps</v>
      </c>
    </row>
    <row r="2877">
      <c r="A2877" s="12" t="str">
        <f>HYPERLINK("https://drive.google.com/file/d/14GL0uZcEa2q8-vjvBJJ5mGVnAV8qYQ00/view?usp=drivesdk","NMS Jump.docx.pdf")</f>
        <v>NMS Jump.docx.pdf</v>
      </c>
      <c r="B2877" s="12" t="str">
        <f t="shared" si="261"/>
        <v>Reddit Jumpchain Drive/Completed/Named Folders of Reddit/Previous version of Reddit Jumps</v>
      </c>
    </row>
    <row r="2878">
      <c r="A2878" s="12" t="str">
        <f>HYPERLINK("https://drive.google.com/file/d/13HVTUhZ-qmZBoRPpHNYlv1sQUiQwX4T2/view?usp=drivesdk","Volcanoids Jump.pdf")</f>
        <v>Volcanoids Jump.pdf</v>
      </c>
      <c r="B2878" s="12" t="str">
        <f t="shared" si="261"/>
        <v>Reddit Jumpchain Drive/Completed/Named Folders of Reddit/Previous version of Reddit Jumps</v>
      </c>
    </row>
    <row r="2879">
      <c r="A2879" s="12" t="str">
        <f>HYPERLINK("https://drive.google.com/file/d/1n-AR5MqziX2BaHAxFG-OTsUH19viznJm/view?usp=drivesdk","Monster Hunter World_ Iceborne Jump v1.1 (The Cats &amp; Items Update).pdf")</f>
        <v>Monster Hunter World_ Iceborne Jump v1.1 (The Cats &amp; Items Update).pdf</v>
      </c>
      <c r="B2879" s="12" t="str">
        <f t="shared" si="261"/>
        <v>Reddit Jumpchain Drive/Completed/Named Folders of Reddit/Previous version of Reddit Jumps</v>
      </c>
    </row>
    <row r="2880">
      <c r="A2880" s="12" t="str">
        <f>HYPERLINK("https://drive.google.com/file/d/17zyiAcIhof7fTbSt-NLcl-lsT5eMTP4C/view?usp=drivesdk","Sacred Underworld 1.0.pdf")</f>
        <v>Sacred Underworld 1.0.pdf</v>
      </c>
      <c r="B2880" s="12" t="str">
        <f t="shared" si="261"/>
        <v>Reddit Jumpchain Drive/Completed/Named Folders of Reddit/Previous version of Reddit Jumps</v>
      </c>
    </row>
    <row r="2881">
      <c r="A2881" s="12" t="str">
        <f>HYPERLINK("https://drive.google.com/file/d/1BAnCHkdD3FnO-YNbbXWjmXL_jx3Tteho/view?usp=drivesdk","Gall Force Jump.docx.pdf")</f>
        <v>Gall Force Jump.docx.pdf</v>
      </c>
      <c r="B2881" s="12" t="str">
        <f t="shared" si="261"/>
        <v>Reddit Jumpchain Drive/Completed/Named Folders of Reddit/Previous version of Reddit Jumps</v>
      </c>
    </row>
    <row r="2882">
      <c r="A2882" s="12" t="str">
        <f>HYPERLINK("https://drive.google.com/file/d/1g-JVhGT3iwveQnKlM3FXVNGEKjBdwruT/view?usp=drivesdk","Generic Dragon Ball Fanfic V1.pdf")</f>
        <v>Generic Dragon Ball Fanfic V1.pdf</v>
      </c>
      <c r="B2882" s="12" t="str">
        <f t="shared" si="261"/>
        <v>Reddit Jumpchain Drive/Completed/Named Folders of Reddit/Previous version of Reddit Jumps</v>
      </c>
    </row>
    <row r="2883">
      <c r="A2883" s="12" t="str">
        <f>HYPERLINK("https://drive.google.com/file/d/1-mjWSbvvneYcsqkgkrXs8XOXPtNeZBpB/view?usp=drivesdk","Copy of The Order Jumpchain 1.2.pdf")</f>
        <v>Copy of The Order Jumpchain 1.2.pdf</v>
      </c>
      <c r="B2883" s="12" t="str">
        <f t="shared" si="261"/>
        <v>Reddit Jumpchain Drive/Completed/Named Folders of Reddit/Previous version of Reddit Jumps</v>
      </c>
    </row>
    <row r="2884">
      <c r="A2884" s="12" t="str">
        <f>HYPERLINK("https://drive.google.com/file/d/1MtOehZ_JNhOjsWcrm0zDAFnB3hZsfRnf/view?usp=drivesdk","Copy of Dragon Prince Jumpchain.pdf")</f>
        <v>Copy of Dragon Prince Jumpchain.pdf</v>
      </c>
      <c r="B2884" s="12" t="str">
        <f t="shared" si="261"/>
        <v>Reddit Jumpchain Drive/Completed/Named Folders of Reddit/Previous version of Reddit Jumps</v>
      </c>
    </row>
    <row r="2885">
      <c r="A2885" s="12" t="str">
        <f>HYPERLINK("https://docs.google.com/document/d/1-sgAmupmF-YMXhoI0RxqhmtvKZ6Zo5KpHOf0HCeTd1I/edit?usp=drivesdk","Generic Highschool DxD v1.1")</f>
        <v>Generic Highschool DxD v1.1</v>
      </c>
      <c r="B2885" s="12" t="str">
        <f t="shared" si="261"/>
        <v>Reddit Jumpchain Drive/Completed/Named Folders of Reddit/Previous version of Reddit Jumps</v>
      </c>
    </row>
    <row r="2886">
      <c r="A2886" s="12" t="str">
        <f>HYPERLINK("https://docs.google.com/document/d/1nH9JDv1WRUzGdm2Q_7nM-SAn_cGa9jTfJj10WIC2wis/edit?usp=drivesdk","Copy of RimWorld")</f>
        <v>Copy of RimWorld</v>
      </c>
      <c r="B2886" s="12" t="str">
        <f t="shared" si="261"/>
        <v>Reddit Jumpchain Drive/Completed/Named Folders of Reddit/Previous version of Reddit Jumps</v>
      </c>
    </row>
    <row r="2887">
      <c r="A2887" s="12" t="str">
        <f>HYPERLINK("https://drive.google.com/file/d/11JTKr0dA--9V5oPj4dJsiQHOSeybYcDh/view?usp=drivesdk","Copy of Age of Empires III: Wars of Liberty Jumpchain.pdf")</f>
        <v>Copy of Age of Empires III: Wars of Liberty Jumpchain.pdf</v>
      </c>
      <c r="B2887" s="12" t="str">
        <f t="shared" si="261"/>
        <v>Reddit Jumpchain Drive/Completed/Named Folders of Reddit/Previous version of Reddit Jumps</v>
      </c>
    </row>
    <row r="2888">
      <c r="A2888" s="12" t="str">
        <f>HYPERLINK("https://drive.google.com/file/d/15TBxfGOj1jRTDmwtimyG7dCd3PgTKf_N/view?usp=drivesdk","Copy of Control™")</f>
        <v>Copy of Control™</v>
      </c>
      <c r="B2888" s="12" t="str">
        <f t="shared" si="261"/>
        <v>Reddit Jumpchain Drive/Completed/Named Folders of Reddit/Previous version of Reddit Jumps</v>
      </c>
    </row>
    <row r="2889">
      <c r="A2889" s="12" t="str">
        <f>HYPERLINK("https://drive.google.com/file/d/16F-hk_VUUW5EyXuSLSGl34Er4So5y8AK/view?usp=drivesdk","Copy of Detroit Become Human V1.pdf")</f>
        <v>Copy of Detroit Become Human V1.pdf</v>
      </c>
      <c r="B2889" s="12" t="str">
        <f t="shared" si="261"/>
        <v>Reddit Jumpchain Drive/Completed/Named Folders of Reddit/Previous version of Reddit Jumps</v>
      </c>
    </row>
    <row r="2890">
      <c r="A2890" s="12" t="str">
        <f>HYPERLINK("https://drive.google.com/file/d/1_MCBRkR1Wy_yryVOVAE0uVPaz3z9yz0n/view?usp=drivesdk","Copy of BlackChain Jumpchain.pdf")</f>
        <v>Copy of BlackChain Jumpchain.pdf</v>
      </c>
      <c r="B2890" s="12" t="str">
        <f t="shared" si="261"/>
        <v>Reddit Jumpchain Drive/Completed/Named Folders of Reddit/Previous version of Reddit Jumps</v>
      </c>
    </row>
    <row r="2891">
      <c r="A2891" s="12" t="str">
        <f>HYPERLINK("https://drive.google.com/file/d/1bBpwxYMDt_a1vhDMi_dl_vpqbvxBC79r/view?usp=drivesdk","Copy of The Boys Jumpchain - CYOA V1.0.pdf")</f>
        <v>Copy of The Boys Jumpchain - CYOA V1.0.pdf</v>
      </c>
      <c r="B2891" s="12" t="str">
        <f t="shared" si="261"/>
        <v>Reddit Jumpchain Drive/Completed/Named Folders of Reddit/Previous version of Reddit Jumps</v>
      </c>
    </row>
    <row r="2892">
      <c r="A2892" s="12" t="str">
        <f>HYPERLINK("https://drive.google.com/file/d/1iRh59aCtPqGJiwe9pQGVKFuFjGhgPGEL/view?usp=drivesdk","Copy of Bungo Stray Dogs Jumpchain (2).pdf")</f>
        <v>Copy of Bungo Stray Dogs Jumpchain (2).pdf</v>
      </c>
      <c r="B2892" s="12" t="str">
        <f t="shared" si="261"/>
        <v>Reddit Jumpchain Drive/Completed/Named Folders of Reddit/Previous version of Reddit Jumps</v>
      </c>
    </row>
    <row r="2893">
      <c r="A2893" s="12" t="str">
        <f>HYPERLINK("https://drive.google.com/file/d/1kDyOheZj6Y-BQ_U7GCwk0SAnNLHjl5nV/view?usp=drivesdk","Copy of Andromeda Jumpchain.pdf")</f>
        <v>Copy of Andromeda Jumpchain.pdf</v>
      </c>
      <c r="B2893" s="12" t="str">
        <f t="shared" si="261"/>
        <v>Reddit Jumpchain Drive/Completed/Named Folders of Reddit/Previous version of Reddit Jumps</v>
      </c>
    </row>
    <row r="2894">
      <c r="A2894" s="12" t="str">
        <f>HYPERLINK("https://drive.google.com/file/d/1t1ywKfWv1M8lXa7VKHkiYuPGkZws7lCW/view?usp=drivesdk","Copy of Paranormal Order (Jumpchain) English Version 2.0.pdf")</f>
        <v>Copy of Paranormal Order (Jumpchain) English Version 2.0.pdf</v>
      </c>
      <c r="B2894" s="12" t="str">
        <f t="shared" si="261"/>
        <v>Reddit Jumpchain Drive/Completed/Named Folders of Reddit/Previous version of Reddit Jumps</v>
      </c>
    </row>
    <row r="2895">
      <c r="A2895" s="12" t="str">
        <f>HYPERLINK("https://drive.google.com/file/d/1thhxmPufIXbyc5oLIkI-BjB3OlVfrd_1/view?usp=drivesdk","Paranormal Order (Jumpchain) English Version 2.0.pdf")</f>
        <v>Paranormal Order (Jumpchain) English Version 2.0.pdf</v>
      </c>
      <c r="B2895" s="12" t="str">
        <f t="shared" si="261"/>
        <v>Reddit Jumpchain Drive/Completed/Named Folders of Reddit/Previous version of Reddit Jumps</v>
      </c>
    </row>
    <row r="2896">
      <c r="A2896" s="12" t="str">
        <f>HYPERLINK("https://docs.google.com/document/d/1zlcgN5i0FvG6n9PGYt2mIj0ioU5Jr4ZVEeluuBEc-sU/edit?usp=drivesdk","RimWorld")</f>
        <v>RimWorld</v>
      </c>
      <c r="B2896" s="12" t="str">
        <f t="shared" si="261"/>
        <v>Reddit Jumpchain Drive/Completed/Named Folders of Reddit/Previous version of Reddit Jumps</v>
      </c>
    </row>
    <row r="2897">
      <c r="A2897" s="12" t="str">
        <f>HYPERLINK("https://docs.google.com/document/d/1UYYUrDlBBsdyBsDlFHzUhjHyPPY7sVgGERxI8tTmB3o/edit?usp=drivesdk","Naruto(Reddit edition)")</f>
        <v>Naruto(Reddit edition)</v>
      </c>
      <c r="B2897" s="12" t="str">
        <f t="shared" si="261"/>
        <v>Reddit Jumpchain Drive/Completed/Named Folders of Reddit/Previous version of Reddit Jumps</v>
      </c>
    </row>
    <row r="2898">
      <c r="A2898" s="12" t="str">
        <f>HYPERLINK("https://docs.google.com/document/d/1EUEsxzxD5FYWbS1YIYgY7KPMu6CsBEuNKM9uzHsgDLo/edit?usp=drivesdk","Copy of Naruto(Reddit edition)")</f>
        <v>Copy of Naruto(Reddit edition)</v>
      </c>
      <c r="B2898" s="12" t="str">
        <f t="shared" si="261"/>
        <v>Reddit Jumpchain Drive/Completed/Named Folders of Reddit/Previous version of Reddit Jumps</v>
      </c>
    </row>
    <row r="2899">
      <c r="A2899" s="12" t="str">
        <f>HYPERLINK("https://docs.google.com/document/d/115JyJuDe1r_4YyBgkEerJPBdnQtrNIm2J_kiWffPeMM/edit?usp=drivesdk","Naruto(Reddit edition)")</f>
        <v>Naruto(Reddit edition)</v>
      </c>
      <c r="B2899" s="12" t="str">
        <f t="shared" si="261"/>
        <v>Reddit Jumpchain Drive/Completed/Named Folders of Reddit/Previous version of Reddit Jumps</v>
      </c>
    </row>
    <row r="2900">
      <c r="A2900" s="12" t="str">
        <f>HYPERLINK("https://docs.google.com/document/d/1u8BvLaNNRGrbhwq6mBjJMUrBz4fAfuhfa9xWl9-q8GA/edit?usp=drivesdk","Age of Empires III: Wars of Liberty Jumpchain")</f>
        <v>Age of Empires III: Wars of Liberty Jumpchain</v>
      </c>
      <c r="B2900" s="12" t="str">
        <f t="shared" si="261"/>
        <v>Reddit Jumpchain Drive/Completed/Named Folders of Reddit/Previous version of Reddit Jumps</v>
      </c>
    </row>
    <row r="2901">
      <c r="A2901" s="12" t="str">
        <f>HYPERLINK("https://docs.google.com/document/d/1UdxkApbrB582GaVo_JXExvLFOPT0SYl9uxBJJZcNOUE/edit?usp=drivesdk","Batman_ Arkham Series")</f>
        <v>Batman_ Arkham Series</v>
      </c>
      <c r="B2901" s="12" t="str">
        <f t="shared" si="261"/>
        <v>Reddit Jumpchain Drive/Completed/Named Folders of Reddit/Previous version of Reddit Jumps</v>
      </c>
    </row>
    <row r="2902">
      <c r="A2902" s="12" t="str">
        <f>HYPERLINK("https://docs.google.com/document/d/1siYFC9SPfhbUsCR2mww7X9pds0R3HzkGb5Tgh-J8G1E/edit?usp=drivesdk","Invincible Jump CYOA")</f>
        <v>Invincible Jump CYOA</v>
      </c>
      <c r="B2902" s="12" t="str">
        <f t="shared" si="261"/>
        <v>Reddit Jumpchain Drive/Completed/Named Folders of Reddit/Previous version of Reddit Jumps</v>
      </c>
    </row>
    <row r="2903">
      <c r="A2903" s="12" t="str">
        <f>HYPERLINK("https://drive.google.com/file/d/1nKdjSvoFHJPfwbBgnmYIaF1OnxaFm57z/view?usp=drivesdk","Detroit Become Human V1.pdf")</f>
        <v>Detroit Become Human V1.pdf</v>
      </c>
      <c r="B2903" s="12" t="str">
        <f t="shared" si="261"/>
        <v>Reddit Jumpchain Drive/Completed/Named Folders of Reddit/Previous version of Reddit Jumps</v>
      </c>
    </row>
    <row r="2904">
      <c r="A2904" s="12" t="str">
        <f>HYPERLINK("https://drive.google.com/file/d/1KbrzrB20v7zdCqWyoWEhzxn_bnlzjyMu/view?usp=drivesdk","Bungo Stray Dogs Jumpchain (2).pdf")</f>
        <v>Bungo Stray Dogs Jumpchain (2).pdf</v>
      </c>
      <c r="B2904" s="12" t="str">
        <f t="shared" si="261"/>
        <v>Reddit Jumpchain Drive/Completed/Named Folders of Reddit/Previous version of Reddit Jumps</v>
      </c>
    </row>
    <row r="2905">
      <c r="A2905" s="12" t="str">
        <f>HYPERLINK("https://docs.google.com/document/d/11f1ERUj3BKOUdyIqxQFrKC8xA4Jgd9tYwVpztTOZa2w/edit?usp=drivesdk","Kane Chronicles Jump-Chain")</f>
        <v>Kane Chronicles Jump-Chain</v>
      </c>
      <c r="B2905" s="12" t="str">
        <f t="shared" si="261"/>
        <v>Reddit Jumpchain Drive/Completed/Named Folders of Reddit/Previous version of Reddit Jumps</v>
      </c>
    </row>
    <row r="2906">
      <c r="A2906" s="12" t="str">
        <f>HYPERLINK("https://docs.google.com/document/d/1XKy48SnOMuMyLgtWYYrZpomeTF57Asu68PblNsqa6aY/edit?usp=drivesdk","The Monster House(2006) Jump")</f>
        <v>The Monster House(2006) Jump</v>
      </c>
      <c r="B2906" s="12" t="str">
        <f t="shared" si="261"/>
        <v>Reddit Jumpchain Drive/Completed/Named Folders of Reddit/Previous version of Reddit Jumps</v>
      </c>
    </row>
    <row r="2907">
      <c r="A2907" s="12" t="str">
        <f>HYPERLINK("https://docs.google.com/document/d/1XgrspxFs7RjmYumUrsaYEJXwDgYAcTvU0CSj60geeJE/edit?usp=drivesdk","Area D - Inou Ryouiki Jumpchain")</f>
        <v>Area D - Inou Ryouiki Jumpchain</v>
      </c>
      <c r="B2907" s="12" t="str">
        <f t="shared" si="261"/>
        <v>Reddit Jumpchain Drive/Completed/Named Folders of Reddit/Previous version of Reddit Jumps</v>
      </c>
    </row>
    <row r="2908">
      <c r="A2908" s="12" t="str">
        <f>HYPERLINK("https://docs.google.com/document/d/1cE6FP7kN8uwmCqFg2bcZZrXMcYgDxtOK20FKcTVAVsM/edit?usp=drivesdk","Batman_ Arkham Series")</f>
        <v>Batman_ Arkham Series</v>
      </c>
      <c r="B2908" s="12" t="str">
        <f t="shared" si="261"/>
        <v>Reddit Jumpchain Drive/Completed/Named Folders of Reddit/Previous version of Reddit Jumps</v>
      </c>
    </row>
    <row r="2909">
      <c r="A2909" s="12" t="str">
        <f>HYPERLINK("https://drive.google.com/file/d/1EJcJFu3F5D5qDKN7Kh5-roULeCQKQjF2/view?usp=drivesdk","Volcanoids Jump.docx.pdf")</f>
        <v>Volcanoids Jump.docx.pdf</v>
      </c>
      <c r="B2909" s="12" t="str">
        <f t="shared" si="261"/>
        <v>Reddit Jumpchain Drive/Completed/Named Folders of Reddit/Previous version of Reddit Jumps</v>
      </c>
    </row>
    <row r="2910">
      <c r="A2910" s="12" t="str">
        <f>HYPERLINK("https://docs.google.com/document/d/1gTnkInJ4FqnhiQcCT82wDCXFgINxjgZ4r2XdD8QdFKI/edit?usp=drivesdk","Germanic_Norse Mythology Jump")</f>
        <v>Germanic_Norse Mythology Jump</v>
      </c>
      <c r="B2910" s="12" t="str">
        <f t="shared" si="261"/>
        <v>Reddit Jumpchain Drive/Completed/Named Folders of Reddit/Previous version of Reddit Jumps</v>
      </c>
    </row>
    <row r="2911">
      <c r="A2911" s="12" t="str">
        <f>HYPERLINK("https://docs.google.com/document/d/14ZW6y46JEM5j8UPVz316wFYPKnby066wQ0cRV_fD_gU/edit?usp=drivesdk","Hacknet 1.0")</f>
        <v>Hacknet 1.0</v>
      </c>
      <c r="B2911" s="12" t="str">
        <f t="shared" si="261"/>
        <v>Reddit Jumpchain Drive/Completed/Named Folders of Reddit/Previous version of Reddit Jumps</v>
      </c>
    </row>
    <row r="2912">
      <c r="A2912" s="12" t="str">
        <f>HYPERLINK("https://docs.google.com/document/d/1g-t3EhDBd2wt-38lM9nFT3LMs83G8PdtQZF67y5c8DM/edit?usp=drivesdk","StarCraft - The Zerg - Lone Valkyrie Edition")</f>
        <v>StarCraft - The Zerg - Lone Valkyrie Edition</v>
      </c>
      <c r="B2912" s="12" t="str">
        <f t="shared" si="261"/>
        <v>Reddit Jumpchain Drive/Completed/Named Folders of Reddit/Previous version of Reddit Jumps</v>
      </c>
    </row>
    <row r="2913">
      <c r="A2913" s="12" t="str">
        <f>HYPERLINK("https://docs.google.com/document/d/1yTZ4TDUdY9q-zcApEsdGm9T_rR26ytEskv5pFTY4HzI/edit?usp=drivesdk","Overlord - PJ Edition")</f>
        <v>Overlord - PJ Edition</v>
      </c>
      <c r="B2913" s="12" t="str">
        <f t="shared" si="261"/>
        <v>Reddit Jumpchain Drive/Completed/Named Folders of Reddit/Previous version of Reddit Jumps</v>
      </c>
    </row>
    <row r="2914">
      <c r="A2914" s="12" t="str">
        <f>HYPERLINK("https://drive.google.com/file/d/1cTlc0ZTcz1vWH4j1ssWsVthyTi9h0cgq/view?usp=drivesdk","Copy of Attack on Titan.pdf")</f>
        <v>Copy of Attack on Titan.pdf</v>
      </c>
      <c r="B2914" s="12" t="str">
        <f t="shared" si="261"/>
        <v>Reddit Jumpchain Drive/Completed/Named Folders of Reddit/Previous version of Reddit Jumps</v>
      </c>
    </row>
    <row r="2915">
      <c r="A2915" s="12" t="str">
        <f>HYPERLINK("https://docs.google.com/document/d/1jAUk0jQZKXnq3i_9yiaugE5hJ5Fy2PokXyp5WfNLoAo/edit?usp=drivesdk","Generic Gamer Jump")</f>
        <v>Generic Gamer Jump</v>
      </c>
      <c r="B2915" s="12" t="str">
        <f t="shared" si="261"/>
        <v>Reddit Jumpchain Drive/Completed/Named Folders of Reddit/Previous version of Reddit Jumps</v>
      </c>
    </row>
    <row r="2916">
      <c r="A2916" s="12" t="str">
        <f>HYPERLINK("https://docs.google.com/document/d/1j-DDKooop8dn2SWScInRQahuLYfLh7Qaup9_zDSUqD0/edit?usp=drivesdk","Copy of Generic Gamer Jump")</f>
        <v>Copy of Generic Gamer Jump</v>
      </c>
      <c r="B2916" s="12" t="str">
        <f t="shared" si="261"/>
        <v>Reddit Jumpchain Drive/Completed/Named Folders of Reddit/Previous version of Reddit Jumps</v>
      </c>
    </row>
    <row r="2917">
      <c r="A2917" s="12" t="str">
        <f>HYPERLINK("https://docs.google.com/document/d/10YiQvo-j7aisV2Lu0Nu_oI3vAsdNXFggeTOVPUgKdiU/edit?usp=drivesdk","Cyberpunk 2077 Jump v1.01")</f>
        <v>Cyberpunk 2077 Jump v1.01</v>
      </c>
      <c r="B2917" s="12" t="str">
        <f t="shared" si="261"/>
        <v>Reddit Jumpchain Drive/Completed/Named Folders of Reddit/Previous version of Reddit Jumps</v>
      </c>
    </row>
    <row r="2918">
      <c r="A2918" s="12" t="str">
        <f>HYPERLINK("https://docs.google.com/document/d/1oiu7LTOeeVZvi2b58OL9FcpjQybpNi45iniTxlOFgMU/edit?usp=drivesdk","There Is No Epic Loot Here, Only Puns Jump (V1.1)")</f>
        <v>There Is No Epic Loot Here, Only Puns Jump (V1.1)</v>
      </c>
      <c r="B2918" s="12" t="str">
        <f t="shared" si="261"/>
        <v>Reddit Jumpchain Drive/Completed/Named Folders of Reddit/Previous version of Reddit Jumps</v>
      </c>
    </row>
    <row r="2919">
      <c r="A2919" s="12" t="str">
        <f>HYPERLINK("https://docs.google.com/document/d/1asU2d-8boTYcgEg3h8s1pEdG7cLnSwfQ44Vp_MGx0wI/edit?usp=drivesdk","A Series of Unfortunate Events Jumpchain")</f>
        <v>A Series of Unfortunate Events Jumpchain</v>
      </c>
      <c r="B2919" s="12" t="str">
        <f t="shared" si="261"/>
        <v>Reddit Jumpchain Drive/Completed/Named Folders of Reddit/Previous version of Reddit Jumps</v>
      </c>
    </row>
    <row r="2920">
      <c r="A2920" s="12" t="str">
        <f>HYPERLINK("https://docs.google.com/document/d/1gKv6VJQ81NYnaZOiztgXKIx-OcpiqHihksbf_jQVEao/edit?usp=drivesdk","Mushoku Tensei _ Jobless Reincarnation _ v0.2")</f>
        <v>Mushoku Tensei _ Jobless Reincarnation _ v0.2</v>
      </c>
      <c r="B2920" s="12" t="str">
        <f t="shared" si="261"/>
        <v>Reddit Jumpchain Drive/Completed/Named Folders of Reddit/Previous version of Reddit Jumps</v>
      </c>
    </row>
    <row r="2921">
      <c r="A2921" s="12" t="str">
        <f>HYPERLINK("https://docs.google.com/document/d/1zVaOuAdfHJCXUzQqEAEGaL5_hKIt-aMNuveCIWxXEdU/edit?usp=drivesdk","Skulduggery Pleasant Jumpchain v1.05")</f>
        <v>Skulduggery Pleasant Jumpchain v1.05</v>
      </c>
      <c r="B2921" s="12" t="str">
        <f t="shared" si="261"/>
        <v>Reddit Jumpchain Drive/Completed/Named Folders of Reddit/Previous version of Reddit Jumps</v>
      </c>
    </row>
    <row r="2922">
      <c r="A2922" s="12" t="str">
        <f>HYPERLINK("https://docs.google.com/document/d/1HyAfuwrrvhVKJzXnjyt3AkAZ8R_6gHlm6q_Fu6k57qo/edit?usp=drivesdk","Copy of Generic D&amp;D 5e Jumpchain v0.0.2")</f>
        <v>Copy of Generic D&amp;D 5e Jumpchain v0.0.2</v>
      </c>
      <c r="B2922" s="12" t="str">
        <f t="shared" si="261"/>
        <v>Reddit Jumpchain Drive/Completed/Named Folders of Reddit/Previous version of Reddit Jumps</v>
      </c>
    </row>
    <row r="2923">
      <c r="A2923" s="12" t="str">
        <f>HYPERLINK("https://docs.google.com/document/d/1r5oLYLeqdvm1UztFvOWbyzJmWK7B35hw/edit?usp=drivesdk&amp;ouid=115153177157280896651&amp;rtpof=true&amp;sd=true","Completionist Chronicles Jumpchain.docx")</f>
        <v>Completionist Chronicles Jumpchain.docx</v>
      </c>
      <c r="B2923" s="12" t="str">
        <f t="shared" si="261"/>
        <v>Reddit Jumpchain Drive/Completed/Named Folders of Reddit/Previous version of Reddit Jumps</v>
      </c>
    </row>
    <row r="2924">
      <c r="A2924" s="12" t="str">
        <f>HYPERLINK("https://docs.google.com/document/d/10TmXNwOKrzhV7as4L6IkRUKkZSeUh7do6ayjJMcPzo8/edit?usp=drivesdk","Outer Wilds Gauntlet")</f>
        <v>Outer Wilds Gauntlet</v>
      </c>
      <c r="B2924" s="12" t="str">
        <f t="shared" si="261"/>
        <v>Reddit Jumpchain Drive/Completed/Named Folders of Reddit/Previous version of Reddit Jumps</v>
      </c>
    </row>
    <row r="2925">
      <c r="A2925" s="12" t="str">
        <f>HYPERLINK("https://docs.google.com/document/d/1hdKOlVYIe5lgayOtGPpq5DXn-Wg4aEAHUJzm9Hm1fOY/edit?usp=drivesdk","Sonic's Quest For Power")</f>
        <v>Sonic's Quest For Power</v>
      </c>
      <c r="B2925" s="12" t="str">
        <f t="shared" si="261"/>
        <v>Reddit Jumpchain Drive/Completed/Named Folders of Reddit/Previous version of Reddit Jumps</v>
      </c>
    </row>
    <row r="2926">
      <c r="A2926" s="12" t="str">
        <f>HYPERLINK("https://docs.google.com/document/d/1sn8fd_Zz8bGIXGfCZLVeFE-HMsjqgK0ubE4cw6kMZWA/edit?usp=drivesdk","Sonic's Quest For Power")</f>
        <v>Sonic's Quest For Power</v>
      </c>
      <c r="B2926" s="12" t="str">
        <f t="shared" si="261"/>
        <v>Reddit Jumpchain Drive/Completed/Named Folders of Reddit/Previous version of Reddit Jumps</v>
      </c>
    </row>
    <row r="2927">
      <c r="A2927" s="12" t="str">
        <f>HYPERLINK("https://docs.google.com/document/d/1O1FRH42QvzILsVMFev1WGLcJFSKsq3FNf_FJSshvgqA/edit?usp=drivesdk","In Flight")</f>
        <v>In Flight</v>
      </c>
      <c r="B2927" s="12" t="str">
        <f t="shared" si="261"/>
        <v>Reddit Jumpchain Drive/Completed/Named Folders of Reddit/Previous version of Reddit Jumps</v>
      </c>
    </row>
    <row r="2928">
      <c r="A2928" s="12" t="str">
        <f>HYPERLINK("https://docs.google.com/document/d/1brmZwZNYTpeFKq3verICB2otpWuoCwWBjK_COvV4icA/edit?usp=drivesdk","Generic Magic Academy v2")</f>
        <v>Generic Magic Academy v2</v>
      </c>
      <c r="B2928" s="12" t="str">
        <f t="shared" si="261"/>
        <v>Reddit Jumpchain Drive/Completed/Named Folders of Reddit/Previous version of Reddit Jumps</v>
      </c>
    </row>
    <row r="2929">
      <c r="A2929" s="12" t="str">
        <f>HYPERLINK("https://docs.google.com/document/d/1bLb7vI-2oFif7ki8II_5utEJPc0uUc6VYsygJhUuBXM/edit?usp=drivesdk","Generic Fire Emblem Jumpchain")</f>
        <v>Generic Fire Emblem Jumpchain</v>
      </c>
      <c r="B2929" s="12" t="str">
        <f t="shared" si="261"/>
        <v>Reddit Jumpchain Drive/Completed/Named Folders of Reddit/Previous version of Reddit Jumps</v>
      </c>
    </row>
    <row r="2930">
      <c r="A2930" s="12" t="str">
        <f>HYPERLINK("https://docs.google.com/document/d/1_A4YWZ8vxjZ1fZoiRhqtY2qYMEv-hNnSDux9-U5CuWM/edit?usp=drivesdk","Copy of Generic D&amp;D 5e Jumpchain v0.0.2")</f>
        <v>Copy of Generic D&amp;D 5e Jumpchain v0.0.2</v>
      </c>
      <c r="B2930" s="12" t="str">
        <f t="shared" si="261"/>
        <v>Reddit Jumpchain Drive/Completed/Named Folders of Reddit/Previous version of Reddit Jumps</v>
      </c>
    </row>
    <row r="2931">
      <c r="A2931" s="12" t="str">
        <f>HYPERLINK("https://drive.google.com/file/d/1aBMRfKehPuGAJkmEgYHQxaFjCCgqgS14/view?usp=drivesdk","DragonQuest III Jumpchain 1.1.pdf")</f>
        <v>DragonQuest III Jumpchain 1.1.pdf</v>
      </c>
      <c r="B2931" s="12" t="str">
        <f t="shared" si="261"/>
        <v>Reddit Jumpchain Drive/Completed/Named Folders of Reddit/Previous version of Reddit Jumps</v>
      </c>
    </row>
    <row r="2932">
      <c r="A2932" s="12" t="str">
        <f>HYPERLINK("https://docs.google.com/document/d/1da6wywjj_n9go8H1Hpw2qW8KwMKAXa-W2F4qJHfKLSQ/edit?usp=drivesdk","The Umbrella Academy Jump")</f>
        <v>The Umbrella Academy Jump</v>
      </c>
      <c r="B2932" s="12" t="str">
        <f t="shared" si="261"/>
        <v>Reddit Jumpchain Drive/Completed/Named Folders of Reddit/Previous version of Reddit Jumps</v>
      </c>
    </row>
    <row r="2933">
      <c r="A2933" s="12" t="str">
        <f>HYPERLINK("https://docs.google.com/document/d/1cGvRyTXBYeElZ-EqCHjg6KkrfZ1UGBisyGsl0VVY-i8/edit?usp=drivesdk","F-Zero")</f>
        <v>F-Zero</v>
      </c>
      <c r="B2933" s="12" t="str">
        <f t="shared" si="261"/>
        <v>Reddit Jumpchain Drive/Completed/Named Folders of Reddit/Previous version of Reddit Jumps</v>
      </c>
    </row>
    <row r="2934">
      <c r="A2934" s="12" t="str">
        <f>HYPERLINK("https://docs.google.com/document/d/1l47uTSdJv30-LY7J2T0kJVkHy_6BCyiEMMzlrM0zPjg/edit?usp=drivesdk","Dungeon ni Deai o Motomeru no wa Machigatte Iru Darou ka v0.3")</f>
        <v>Dungeon ni Deai o Motomeru no wa Machigatte Iru Darou ka v0.3</v>
      </c>
      <c r="B2934" s="12" t="str">
        <f t="shared" si="261"/>
        <v>Reddit Jumpchain Drive/Completed/Named Folders of Reddit/Previous version of Reddit Jumps</v>
      </c>
    </row>
    <row r="2935">
      <c r="A2935" s="12" t="str">
        <f>HYPERLINK("https://docs.google.com/document/d/1e_c7dnFxUWzIdT7B_Ka26EWLkrV7-CnCwP0dLJVcFHI/edit?usp=drivesdk","Germanic_Norse Mythology Jump")</f>
        <v>Germanic_Norse Mythology Jump</v>
      </c>
      <c r="B2935" s="12" t="str">
        <f t="shared" si="261"/>
        <v>Reddit Jumpchain Drive/Completed/Named Folders of Reddit/Previous version of Reddit Jumps</v>
      </c>
    </row>
    <row r="2936">
      <c r="A2936" s="12" t="str">
        <f>HYPERLINK("https://drive.google.com/file/d/1vCF8sZzYQHIKYyiexOBhvDgb5GrN7eUG/view?usp=drivesdk","Copy of Full Metal Alchemist Jumpchain V1.pdf")</f>
        <v>Copy of Full Metal Alchemist Jumpchain V1.pdf</v>
      </c>
      <c r="B2936" s="12" t="str">
        <f t="shared" si="261"/>
        <v>Reddit Jumpchain Drive/Completed/Named Folders of Reddit/Previous version of Reddit Jumps</v>
      </c>
    </row>
    <row r="2937">
      <c r="A2937" s="12" t="str">
        <f>HYPERLINK("https://drive.google.com/file/d/1rTKW-J84qr-g-ASMuBBPhE0CimIUYhSs/view?usp=drivesdk","Copy of DxD Universe V1.0.pdf")</f>
        <v>Copy of DxD Universe V1.0.pdf</v>
      </c>
      <c r="B2937" s="12" t="str">
        <f t="shared" si="261"/>
        <v>Reddit Jumpchain Drive/Completed/Named Folders of Reddit/Previous version of Reddit Jumps</v>
      </c>
    </row>
    <row r="2938">
      <c r="A2938" s="12" t="str">
        <f>HYPERLINK("https://drive.google.com/file/d/1S_J55VnPbbeYFzU1L9wK2cFfNA4etMEF/view?usp=drivesdk","Copy of Destiny 2 JumpChain Version 6.pdf")</f>
        <v>Copy of Destiny 2 JumpChain Version 6.pdf</v>
      </c>
      <c r="B2938" s="12" t="str">
        <f t="shared" si="261"/>
        <v>Reddit Jumpchain Drive/Completed/Named Folders of Reddit/Previous version of Reddit Jumps</v>
      </c>
    </row>
    <row r="2939">
      <c r="A2939" s="12" t="str">
        <f>HYPERLINK("https://drive.google.com/file/d/1BtR00bKk1slx6iHYoczzPvmJ8WqXC9H0/view?usp=drivesdk","Copy of Chivalry of a failed knight.pdf")</f>
        <v>Copy of Chivalry of a failed knight.pdf</v>
      </c>
      <c r="B2939" s="12" t="str">
        <f t="shared" si="261"/>
        <v>Reddit Jumpchain Drive/Completed/Named Folders of Reddit/Previous version of Reddit Jumps</v>
      </c>
    </row>
    <row r="2940">
      <c r="A2940" s="12" t="str">
        <f>HYPERLINK("https://docs.google.com/document/d/1MpdjyVXeeGGMoIJo8Rg89e5xwV7642uZLwu07I9aThA/edit?usp=drivesdk","The Secret Return Jumpchainv0.4")</f>
        <v>The Secret Return Jumpchainv0.4</v>
      </c>
      <c r="B2940" s="12" t="str">
        <f t="shared" si="261"/>
        <v>Reddit Jumpchain Drive/Completed/Named Folders of Reddit/Previous version of Reddit Jumps</v>
      </c>
    </row>
    <row r="2941">
      <c r="A2941" s="12" t="str">
        <f>HYPERLINK("https://docs.google.com/document/d/1JO2CXAcjdZE-lpRzW8ew0QeRn7iQPGxMScWedv4K8p8/edit?usp=drivesdk","Jujutsu Kaisen V1.0")</f>
        <v>Jujutsu Kaisen V1.0</v>
      </c>
      <c r="B2941" s="12" t="str">
        <f t="shared" si="261"/>
        <v>Reddit Jumpchain Drive/Completed/Named Folders of Reddit/Previous version of Reddit Jumps</v>
      </c>
    </row>
    <row r="2942">
      <c r="A2942" s="12" t="str">
        <f>HYPERLINK("https://drive.google.com/file/d/1GEx5sgglBODp-7A8J045xp8nqjasJliJ/view?usp=drivesdk","DragonQuest III Jumpchain 1.0.pdf")</f>
        <v>DragonQuest III Jumpchain 1.0.pdf</v>
      </c>
      <c r="B2942" s="12" t="str">
        <f t="shared" si="261"/>
        <v>Reddit Jumpchain Drive/Completed/Named Folders of Reddit/Previous version of Reddit Jumps</v>
      </c>
    </row>
    <row r="2943">
      <c r="A2943" s="12" t="str">
        <f>HYPERLINK("https://docs.google.com/document/d/11gQbjA7hJj86yZkFI28D-jXIXMTb8zkU0smjwzZb3sM/edit?usp=drivesdk","Generic Isekai Jumpchain")</f>
        <v>Generic Isekai Jumpchain</v>
      </c>
      <c r="B2943" s="12" t="str">
        <f t="shared" si="261"/>
        <v>Reddit Jumpchain Drive/Completed/Named Folders of Reddit/Previous version of Reddit Jumps</v>
      </c>
    </row>
    <row r="2944">
      <c r="A2944" s="12" t="str">
        <f>HYPERLINK("https://docs.google.com/document/d/1m8Ddu2r-Es9soS_xFbdPR03QXelU6l7PWRsmK-FJLOg/edit?usp=drivesdk","DxD Universe V1.0")</f>
        <v>DxD Universe V1.0</v>
      </c>
      <c r="B2944" s="12" t="str">
        <f t="shared" si="261"/>
        <v>Reddit Jumpchain Drive/Completed/Named Folders of Reddit/Previous version of Reddit Jumps</v>
      </c>
    </row>
    <row r="2945">
      <c r="A2945" s="12" t="str">
        <f>HYPERLINK("https://docs.google.com/document/d/1XRRtIg5fyLaPjKVawVZQVv8KWqd_lKHzRqqR41u4jS0/edit?usp=drivesdk","Destiny 2 JumpChain Version 6")</f>
        <v>Destiny 2 JumpChain Version 6</v>
      </c>
      <c r="B2945" s="12" t="str">
        <f t="shared" si="261"/>
        <v>Reddit Jumpchain Drive/Completed/Named Folders of Reddit/Previous version of Reddit Jumps</v>
      </c>
    </row>
    <row r="2946">
      <c r="A2946" s="12" t="str">
        <f>HYPERLINK("https://drive.google.com/file/d/1ChyFo2lYQYm8mPT0sqw7fyUGhas55qVP/view?usp=drivesdk","Generic Isekai Jumpchain.pdf")</f>
        <v>Generic Isekai Jumpchain.pdf</v>
      </c>
      <c r="B2946" s="12" t="str">
        <f t="shared" si="261"/>
        <v>Reddit Jumpchain Drive/Completed/Named Folders of Reddit/Previous version of Reddit Jumps</v>
      </c>
    </row>
    <row r="2947">
      <c r="A2947" s="12" t="str">
        <f>HYPERLINK("https://docs.google.com/document/d/1N0_0HzdNqHAhQUl3MSz-HpYhWLrAyFBNR6FGtJQWm1Q/edit?usp=drivesdk","Wander Over Yonder V1.0")</f>
        <v>Wander Over Yonder V1.0</v>
      </c>
      <c r="B2947" s="12" t="str">
        <f t="shared" si="261"/>
        <v>Reddit Jumpchain Drive/Completed/Named Folders of Reddit/Previous version of Reddit Jumps</v>
      </c>
    </row>
    <row r="2948">
      <c r="A2948" s="12" t="str">
        <f>HYPERLINK("https://drive.google.com/file/d/1AJhiA2JZY5nEGF9-chufj9Op61UtGIkd/view?usp=drivesdk","Copy of Generic_Dungeon_Builder-_You_can_Always_Build_Dungeons_v1.1.2.pdf")</f>
        <v>Copy of Generic_Dungeon_Builder-_You_can_Always_Build_Dungeons_v1.1.2.pdf</v>
      </c>
      <c r="B2948" s="12" t="str">
        <f t="shared" si="261"/>
        <v>Reddit Jumpchain Drive/Completed/Named Folders of Reddit/Previous version of Reddit Jumps</v>
      </c>
    </row>
    <row r="2949">
      <c r="A2949" s="12" t="str">
        <f>HYPERLINK("https://drive.google.com/file/d/1_nukR1bIyeqLv-cIlR-LHS3hVoF-fK9M/view?usp=drivesdk","Copy of Germanic_Norse Mythology Jump.pdf")</f>
        <v>Copy of Germanic_Norse Mythology Jump.pdf</v>
      </c>
      <c r="B2949" s="12" t="str">
        <f t="shared" si="261"/>
        <v>Reddit Jumpchain Drive/Completed/Named Folders of Reddit/Previous version of Reddit Jumps</v>
      </c>
    </row>
    <row r="2950">
      <c r="A2950" s="12" t="str">
        <f>HYPERLINK("https://drive.google.com/file/d/1kN6CkBInUP8sVBp8raKjYR8Xod9vN2Pa/view?usp=drivesdk","Copy of Generic_TES_Fanfiction_Jumpchain")</f>
        <v>Copy of Generic_TES_Fanfiction_Jumpchain</v>
      </c>
      <c r="B2950" s="12" t="str">
        <f t="shared" si="261"/>
        <v>Reddit Jumpchain Drive/Completed/Named Folders of Reddit/Previous version of Reddit Jumps</v>
      </c>
    </row>
    <row r="2951">
      <c r="A2951" s="12" t="str">
        <f>HYPERLINK("https://drive.google.com/file/d/1BZeVbVWmagHF4erZvoabwv1VINuQjA1a/view?usp=drivesdk","Copy of generic rouge earth survival.pdf")</f>
        <v>Copy of generic rouge earth survival.pdf</v>
      </c>
      <c r="B2951" s="12" t="str">
        <f t="shared" si="261"/>
        <v>Reddit Jumpchain Drive/Completed/Named Folders of Reddit/Previous version of Reddit Jumps</v>
      </c>
    </row>
    <row r="2952">
      <c r="A2952" s="12" t="str">
        <f>HYPERLINK("https://drive.google.com/file/d/1MVScD-0L2-4YBZ_3GoalfL452FrlMYbb/view?usp=drivesdk","Copy of Generic Magic Academy v2.pdf")</f>
        <v>Copy of Generic Magic Academy v2.pdf</v>
      </c>
      <c r="B2952" s="12" t="str">
        <f t="shared" si="261"/>
        <v>Reddit Jumpchain Drive/Completed/Named Folders of Reddit/Previous version of Reddit Jumps</v>
      </c>
    </row>
    <row r="2953">
      <c r="A2953" s="12" t="str">
        <f>HYPERLINK("https://drive.google.com/file/d/1QcX7sObNuNI5_8FacRreaTwXozxahUVQ/view?usp=drivesdk","Copy of Generic Urban Fantasy Jumpchain 2.0.pdf")</f>
        <v>Copy of Generic Urban Fantasy Jumpchain 2.0.pdf</v>
      </c>
      <c r="B2953" s="12" t="str">
        <f t="shared" si="261"/>
        <v>Reddit Jumpchain Drive/Completed/Named Folders of Reddit/Previous version of Reddit Jumps</v>
      </c>
    </row>
    <row r="2954">
      <c r="A2954" s="12" t="str">
        <f>HYPERLINK("https://drive.google.com/file/d/1R7HaJu-KjXtsLEB4TJu4ubG5-vd2sGNM/view?usp=drivesdk","Copy of Generic MG Jumpchan v1.0.pdf")</f>
        <v>Copy of Generic MG Jumpchan v1.0.pdf</v>
      </c>
      <c r="B2954" s="12" t="str">
        <f t="shared" si="261"/>
        <v>Reddit Jumpchain Drive/Completed/Named Folders of Reddit/Previous version of Reddit Jumps</v>
      </c>
    </row>
    <row r="2955">
      <c r="A2955" s="12" t="str">
        <f>HYPERLINK("https://drive.google.com/file/d/1Sc-HrmiTji31d9MbMjrv4EsRNQrtz97V/view?usp=drivesdk","Copy of Generic Worm Fanfic.pdf")</f>
        <v>Copy of Generic Worm Fanfic.pdf</v>
      </c>
      <c r="B2955" s="12" t="str">
        <f t="shared" si="261"/>
        <v>Reddit Jumpchain Drive/Completed/Named Folders of Reddit/Previous version of Reddit Jumps</v>
      </c>
    </row>
    <row r="2956">
      <c r="A2956" s="12" t="str">
        <f>HYPERLINK("https://drive.google.com/file/d/1Yb11AjEuDt5IByU1n-mkWpt9pOHGmpG-/view?usp=drivesdk","Copy of Generic Wretched Hive.pdf")</f>
        <v>Copy of Generic Wretched Hive.pdf</v>
      </c>
      <c r="B2956" s="12" t="str">
        <f t="shared" si="261"/>
        <v>Reddit Jumpchain Drive/Completed/Named Folders of Reddit/Previous version of Reddit Jumps</v>
      </c>
    </row>
    <row r="2957">
      <c r="A2957" s="12" t="str">
        <f>HYPERLINK("https://drive.google.com/file/d/1fxCN4X76Xn1DjQGkyzNr5i-XsQFzx0QY/view?usp=drivesdk","Copy of Generic Star Wars Fanfiction Jump.pdf")</f>
        <v>Copy of Generic Star Wars Fanfiction Jump.pdf</v>
      </c>
      <c r="B2957" s="12" t="str">
        <f t="shared" si="261"/>
        <v>Reddit Jumpchain Drive/Completed/Named Folders of Reddit/Previous version of Reddit Jumps</v>
      </c>
    </row>
    <row r="2958">
      <c r="A2958" s="12" t="str">
        <f>HYPERLINK("https://drive.google.com/file/d/1mxpAZmFuOFFjdzFVBfk0DZGqPr5cktaw/view?usp=drivesdk","Copy of Generic Vampire JumpChain.pdf")</f>
        <v>Copy of Generic Vampire JumpChain.pdf</v>
      </c>
      <c r="B2958" s="12" t="str">
        <f t="shared" si="261"/>
        <v>Reddit Jumpchain Drive/Completed/Named Folders of Reddit/Previous version of Reddit Jumps</v>
      </c>
    </row>
    <row r="2959">
      <c r="A2959" s="12" t="str">
        <f>HYPERLINK("https://drive.google.com/file/d/1xcuwUSacKp3k3agA7d2eEEBC7YXaDter/view?usp=drivesdk","Copy of Generic Monster Tamer JumpChain.pdf")</f>
        <v>Copy of Generic Monster Tamer JumpChain.pdf</v>
      </c>
      <c r="B2959" s="12" t="str">
        <f t="shared" si="261"/>
        <v>Reddit Jumpchain Drive/Completed/Named Folders of Reddit/Previous version of Reddit Jumps</v>
      </c>
    </row>
    <row r="2960">
      <c r="A2960" s="12" t="str">
        <f>HYPERLINK("https://drive.google.com/file/d/1yHvApT0Kj5CaEafnY9A0jmBMnpWkhKyf/view?usp=drivesdk","Copy of Generic Modern World.pdf")</f>
        <v>Copy of Generic Modern World.pdf</v>
      </c>
      <c r="B2960" s="12" t="str">
        <f t="shared" si="261"/>
        <v>Reddit Jumpchain Drive/Completed/Named Folders of Reddit/Previous version of Reddit Jumps</v>
      </c>
    </row>
    <row r="2961">
      <c r="A2961" s="12" t="str">
        <f>HYPERLINK("https://drive.google.com/file/d/1HoQHYTUfF3Tuzf1uWfGLQCOBiBGcbS17/view?usp=drivesdk","Copy of Generic Buffy Fanfiction.pdf")</f>
        <v>Copy of Generic Buffy Fanfiction.pdf</v>
      </c>
      <c r="B2961" s="12" t="str">
        <f t="shared" si="261"/>
        <v>Reddit Jumpchain Drive/Completed/Named Folders of Reddit/Previous version of Reddit Jumps</v>
      </c>
    </row>
    <row r="2962">
      <c r="A2962" s="12" t="str">
        <f>HYPERLINK("https://drive.google.com/file/d/1LhsCwdn_Krpd4iJB393hhxUS-Ip9a9H7/view?usp=drivesdk","Copy of Generic Dragon 044.pdf")</f>
        <v>Copy of Generic Dragon 044.pdf</v>
      </c>
      <c r="B2962" s="12" t="str">
        <f t="shared" si="261"/>
        <v>Reddit Jumpchain Drive/Completed/Named Folders of Reddit/Previous version of Reddit Jumps</v>
      </c>
    </row>
    <row r="2963">
      <c r="A2963" s="12" t="str">
        <f>HYPERLINK("https://drive.google.com/file/d/1S5ASXs_WbT0k1Gk2NYsuKk3iboYGMQcN/view?usp=drivesdk","Copy of Generic D&amp;D 5e Jumpchain v0.0.2.pdf")</f>
        <v>Copy of Generic D&amp;D 5e Jumpchain v0.0.2.pdf</v>
      </c>
      <c r="B2963" s="12" t="str">
        <f t="shared" si="261"/>
        <v>Reddit Jumpchain Drive/Completed/Named Folders of Reddit/Previous version of Reddit Jumps</v>
      </c>
    </row>
    <row r="2964">
      <c r="A2964" s="12" t="str">
        <f>HYPERLINK("https://drive.google.com/file/d/1bmTwYpLVo6zZlFt5XnQy-jP5SEPW5scT/view?usp=drivesdk","Copy of Generic City of Adventure.pdf")</f>
        <v>Copy of Generic City of Adventure.pdf</v>
      </c>
      <c r="B2964" s="12" t="str">
        <f t="shared" si="261"/>
        <v>Reddit Jumpchain Drive/Completed/Named Folders of Reddit/Previous version of Reddit Jumps</v>
      </c>
    </row>
    <row r="2965">
      <c r="A2965" s="12" t="str">
        <f>HYPERLINK("https://drive.google.com/file/d/1eVlTuUvc0h7eNMahmAZqG9EyS5uQbsGz/view?usp=drivesdk","Copy of Generic High School.pdf")</f>
        <v>Copy of Generic High School.pdf</v>
      </c>
      <c r="B2965" s="12" t="str">
        <f t="shared" si="261"/>
        <v>Reddit Jumpchain Drive/Completed/Named Folders of Reddit/Previous version of Reddit Jumps</v>
      </c>
    </row>
    <row r="2966">
      <c r="A2966" s="12" t="str">
        <f>HYPERLINK("https://drive.google.com/file/d/1heSrSr2tX9i3UzAejdTGZ8UtwluAqAJy/view?usp=drivesdk","Copy of Generic BioTech Post-Apocalypse Jump.v.0.1..pdf")</f>
        <v>Copy of Generic BioTech Post-Apocalypse Jump.v.0.1..pdf</v>
      </c>
      <c r="B2966" s="12" t="str">
        <f t="shared" si="261"/>
        <v>Reddit Jumpchain Drive/Completed/Named Folders of Reddit/Previous version of Reddit Jumps</v>
      </c>
    </row>
    <row r="2967">
      <c r="A2967" s="12" t="str">
        <f>HYPERLINK("https://drive.google.com/file/d/1i7sM8bw5lOd_f2gGqPhhUuB8H-cqFqo8/view?usp=drivesdk","Copy of Cultist Simulator.pdf")</f>
        <v>Copy of Cultist Simulator.pdf</v>
      </c>
      <c r="B2967" s="12" t="str">
        <f t="shared" si="261"/>
        <v>Reddit Jumpchain Drive/Completed/Named Folders of Reddit/Previous version of Reddit Jumps</v>
      </c>
    </row>
    <row r="2968">
      <c r="A2968" s="12" t="str">
        <f>HYPERLINK("https://drive.google.com/file/d/1mLLaeO3IQ7Lz_T9xsglZWKcyFvWFE2CM/view?usp=drivesdk","Copy of Generic Endjump.pdf")</f>
        <v>Copy of Generic Endjump.pdf</v>
      </c>
      <c r="B2968" s="12" t="str">
        <f t="shared" si="261"/>
        <v>Reddit Jumpchain Drive/Completed/Named Folders of Reddit/Previous version of Reddit Jumps</v>
      </c>
    </row>
    <row r="2969">
      <c r="A2969" s="12" t="str">
        <f>HYPERLINK("https://drive.google.com/file/d/1qdBRJupcapGD7qUpHjV7tQSTabceplZJ/view?usp=drivesdk","Copy of Generic Gamer Jump.pdf")</f>
        <v>Copy of Generic Gamer Jump.pdf</v>
      </c>
      <c r="B2969" s="12" t="str">
        <f t="shared" si="261"/>
        <v>Reddit Jumpchain Drive/Completed/Named Folders of Reddit/Previous version of Reddit Jumps</v>
      </c>
    </row>
    <row r="2970">
      <c r="A2970" s="12" t="str">
        <f>HYPERLINK("https://drive.google.com/file/d/1qycRPPdS0MnfGWBzviUrvOkDMGVuyvDk/view?usp=drivesdk","Copy of Generic Fix Fic Jump")</f>
        <v>Copy of Generic Fix Fic Jump</v>
      </c>
      <c r="B2970" s="12" t="str">
        <f t="shared" si="261"/>
        <v>Reddit Jumpchain Drive/Completed/Named Folders of Reddit/Previous version of Reddit Jumps</v>
      </c>
    </row>
    <row r="2971">
      <c r="A2971" s="12" t="str">
        <f>HYPERLINK("https://docs.google.com/document/d/1pzv8u_xpHarfRV1n6e7GofuVyhflgjqJDNujqf9K76k/edit?usp=drivesdk","Kyoukai no Kanata Jumpchain")</f>
        <v>Kyoukai no Kanata Jumpchain</v>
      </c>
      <c r="B2971" s="12" t="str">
        <f t="shared" si="261"/>
        <v>Reddit Jumpchain Drive/Completed/Named Folders of Reddit/Previous version of Reddit Jumps</v>
      </c>
    </row>
    <row r="2972">
      <c r="A2972" s="12" t="str">
        <f>HYPERLINK("https://docs.google.com/document/d/1CLifF1Mx4eA5HJGPVCUakbiKcvFzk2O18ClcjYAg194/edit?usp=drivesdk","Rise of the Guardians doc v2.0")</f>
        <v>Rise of the Guardians doc v2.0</v>
      </c>
      <c r="B2972" s="12" t="str">
        <f t="shared" si="261"/>
        <v>Reddit Jumpchain Drive/Completed/Named Folders of Reddit/Previous version of Reddit Jumps</v>
      </c>
    </row>
    <row r="2973">
      <c r="A2973" s="12" t="str">
        <f>HYPERLINK("https://docs.google.com/document/d/1ZbHRwdn18qSnKYUPvc_160y6uVuG8GmCjE0yighQxmc/edit?usp=drivesdk","Telltale's The Walking Dead Jump v1.1")</f>
        <v>Telltale's The Walking Dead Jump v1.1</v>
      </c>
      <c r="B2973" s="12" t="str">
        <f t="shared" si="261"/>
        <v>Reddit Jumpchain Drive/Completed/Named Folders of Reddit/Previous version of Reddit Jumps</v>
      </c>
    </row>
    <row r="2974">
      <c r="A2974" s="12" t="str">
        <f>HYPERLINK("https://docs.google.com/document/d/1zw0UEhvnPzv1V2PCoj7EtlBtfpLsOdORQHb6AzFY64Y/edit?usp=drivesdk","Good Hunting (Love Death + Robots) Jumpchain")</f>
        <v>Good Hunting (Love Death + Robots) Jumpchain</v>
      </c>
      <c r="B2974" s="12" t="str">
        <f t="shared" si="261"/>
        <v>Reddit Jumpchain Drive/Completed/Named Folders of Reddit/Previous version of Reddit Jumps</v>
      </c>
    </row>
    <row r="2975">
      <c r="A2975" s="12" t="str">
        <f>HYPERLINK("https://docs.google.com/document/d/1iLAwZq9kzXy6ByX4yvKiJ1JhHFi7U2NGxNW82jwqGKw/edit?usp=drivesdk","Running Away From The Hero(RATH) V1.0")</f>
        <v>Running Away From The Hero(RATH) V1.0</v>
      </c>
      <c r="B2975" s="12" t="str">
        <f t="shared" si="261"/>
        <v>Reddit Jumpchain Drive/Completed/Named Folders of Reddit/Previous version of Reddit Jumps</v>
      </c>
    </row>
    <row r="2976">
      <c r="A2976" s="12" t="str">
        <f>HYPERLINK("https://docs.google.com/document/d/1moDpnmJHWFu6SZUNrbBx9wgwCmxHuNvGBFY7fs873tw/edit?usp=drivesdk","Knights and Magic Jumpchain")</f>
        <v>Knights and Magic Jumpchain</v>
      </c>
      <c r="B2976" s="12" t="str">
        <f t="shared" si="261"/>
        <v>Reddit Jumpchain Drive/Completed/Named Folders of Reddit/Previous version of Reddit Jumps</v>
      </c>
    </row>
    <row r="2977">
      <c r="A2977" s="12" t="str">
        <f>HYPERLINK("https://drive.google.com/file/d/1m6STl3UVUuX5xK9cMVxGb2WWKqpY8rK5/view?usp=drivesdk","Generic Star Wars Fanfiction Jump.pdf")</f>
        <v>Generic Star Wars Fanfiction Jump.pdf</v>
      </c>
      <c r="B2977" s="12" t="str">
        <f t="shared" si="261"/>
        <v>Reddit Jumpchain Drive/Completed/Named Folders of Reddit/Previous version of Reddit Jumps</v>
      </c>
    </row>
    <row r="2978">
      <c r="A2978" s="12" t="str">
        <f>HYPERLINK("https://drive.google.com/file/d/1dXRoBdilCsZoD_CIVSI72yTgA8psv-tK/view?usp=drivesdk","Generic Highschool DxD v1.1.pdf")</f>
        <v>Generic Highschool DxD v1.1.pdf</v>
      </c>
      <c r="B2978" s="12" t="str">
        <f t="shared" si="261"/>
        <v>Reddit Jumpchain Drive/Completed/Named Folders of Reddit/Previous version of Reddit Jumps</v>
      </c>
    </row>
    <row r="2979">
      <c r="A2979" s="12" t="str">
        <f>HYPERLINK("https://drive.google.com/file/d/1Ggo9rmfmHsmzAq_ZU7brqyODd6Ao67il/view?usp=drivesdk","Generic Setting v0.04.pdf")</f>
        <v>Generic Setting v0.04.pdf</v>
      </c>
      <c r="B2979" s="12" t="str">
        <f t="shared" si="261"/>
        <v>Reddit Jumpchain Drive/Completed/Named Folders of Reddit/Previous version of Reddit Jumps</v>
      </c>
    </row>
    <row r="2980">
      <c r="A2980" s="12" t="str">
        <f>HYPERLINK("https://drive.google.com/file/d/1Q7eMzNLcQkGzvenvFZk3DC2Vo16R9XJB/view?usp=drivesdk","Undertale Multiverse Jump")</f>
        <v>Undertale Multiverse Jump</v>
      </c>
      <c r="B2980" s="12" t="str">
        <f t="shared" si="261"/>
        <v>Reddit Jumpchain Drive/Completed/Named Folders of Reddit/Previous version of Reddit Jumps</v>
      </c>
    </row>
    <row r="2981">
      <c r="A2981" s="12" t="str">
        <f>HYPERLINK("https://drive.google.com/file/d/1oejZNzYykO8yXR3fPm3A-RNEjLU0PBSN/view?usp=drivesdk","Generic Setting v0.03.pdf")</f>
        <v>Generic Setting v0.03.pdf</v>
      </c>
      <c r="B2981" s="12" t="str">
        <f t="shared" si="261"/>
        <v>Reddit Jumpchain Drive/Completed/Named Folders of Reddit/Previous version of Reddit Jumps</v>
      </c>
    </row>
    <row r="2982">
      <c r="A2982" s="12" t="str">
        <f>HYPERLINK("https://drive.google.com/file/d/174P7loMmK9G7PkbynTU0L0Uyuraua3z0/view?usp=drivesdk","Legend of the River King Jumpchain 0.1.pdf")</f>
        <v>Legend of the River King Jumpchain 0.1.pdf</v>
      </c>
      <c r="B2982" s="12" t="str">
        <f t="shared" si="261"/>
        <v>Reddit Jumpchain Drive/Completed/Named Folders of Reddit/Previous version of Reddit Jumps</v>
      </c>
    </row>
    <row r="2983">
      <c r="A2983" s="12" t="str">
        <f>HYPERLINK("https://docs.google.com/document/d/1MD5D_25IzN9AGKNaODo1xR-pbQzXdp1mdgTD1ixJPjc/edit?usp=drivesdk","generic rouge earth survival")</f>
        <v>generic rouge earth survival</v>
      </c>
      <c r="B2983" s="12" t="str">
        <f t="shared" si="261"/>
        <v>Reddit Jumpchain Drive/Completed/Named Folders of Reddit/Previous version of Reddit Jumps</v>
      </c>
    </row>
    <row r="2984">
      <c r="A2984" s="12" t="str">
        <f>HYPERLINK("https://drive.google.com/file/d/150cyYifn9fxQfe0p6CDcUYQXTesvexmY/view?usp=drivesdk","generic rouge earth survival.pdf")</f>
        <v>generic rouge earth survival.pdf</v>
      </c>
      <c r="B2984" s="12" t="str">
        <f t="shared" si="261"/>
        <v>Reddit Jumpchain Drive/Completed/Named Folders of Reddit/Previous version of Reddit Jumps</v>
      </c>
    </row>
    <row r="2985">
      <c r="A2985" s="12" t="str">
        <f>HYPERLINK("https://drive.google.com/file/d/1OXvz4D29yTT0hx4yFz-TzEuzQZJ8wsxf/view?usp=drivesdk","NMS Jump.docx.pdf")</f>
        <v>NMS Jump.docx.pdf</v>
      </c>
      <c r="B2985" s="12" t="str">
        <f t="shared" si="261"/>
        <v>Reddit Jumpchain Drive/Completed/Named Folders of Reddit/Previous version of Reddit Jumps</v>
      </c>
    </row>
    <row r="2986">
      <c r="A2986" s="12" t="str">
        <f>HYPERLINK("https://drive.google.com/file/d/1psEwrT9_1UwTLzW5vj88_v3OVKHUilCJ/view?usp=drivesdk","In_Spectre Jumpchain v1.0.pdf")</f>
        <v>In_Spectre Jumpchain v1.0.pdf</v>
      </c>
      <c r="B2986" s="12" t="str">
        <f t="shared" si="261"/>
        <v>Reddit Jumpchain Drive/Completed/Named Folders of Reddit/Previous version of Reddit Jumps</v>
      </c>
    </row>
    <row r="2987">
      <c r="A2987" s="12" t="str">
        <f>HYPERLINK("https://drive.google.com/file/d/1p0nKvjL7ZN6vGKakxnlaZPJ0pl7SYNiQ/view?usp=drivesdk","Jormungand Perfect Order edition")</f>
        <v>Jormungand Perfect Order edition</v>
      </c>
      <c r="B2987" s="12" t="str">
        <f t="shared" si="261"/>
        <v>Reddit Jumpchain Drive/Completed/Named Folders of Reddit/Previous version of Reddit Jumps</v>
      </c>
    </row>
    <row r="2988">
      <c r="A2988" s="12" t="str">
        <f>HYPERLINK("https://drive.google.com/file/d/1woL3Mcof2-x3_7a-e4oxEcLNQ_Zvvhfz/view?usp=drivesdk","Diablo 3 Jump.pdf")</f>
        <v>Diablo 3 Jump.pdf</v>
      </c>
      <c r="B2988" s="12" t="str">
        <f t="shared" si="261"/>
        <v>Reddit Jumpchain Drive/Completed/Named Folders of Reddit/Previous version of Reddit Jumps</v>
      </c>
    </row>
    <row r="2989">
      <c r="A2989" s="12" t="str">
        <f>HYPERLINK("https://drive.google.com/file/d/1SiriOlI-uwrke7rXC-jVMFVfBvwgpKbx/view?usp=drivesdk","Diablo 3 Jump ")</f>
        <v>Diablo 3 Jump </v>
      </c>
      <c r="B2989" s="12" t="str">
        <f t="shared" si="261"/>
        <v>Reddit Jumpchain Drive/Completed/Named Folders of Reddit/Previous version of Reddit Jumps</v>
      </c>
    </row>
    <row r="2990">
      <c r="A2990" s="12" t="str">
        <f>HYPERLINK("https://drive.google.com/file/d/1iMK7CjyZYgcitZYBnpD4F__Eg6hkgsEU/view?usp=drivesdk","Diablo 3 Jump.pdf")</f>
        <v>Diablo 3 Jump.pdf</v>
      </c>
      <c r="B2990" s="12" t="str">
        <f t="shared" si="261"/>
        <v>Reddit Jumpchain Drive/Completed/Named Folders of Reddit/Previous version of Reddit Jumps</v>
      </c>
    </row>
    <row r="2991">
      <c r="A2991" s="12" t="str">
        <f>HYPERLINK("https://drive.google.com/file/d/1foN6X3yMjHCc40MV5E5Q7pKLsn6ZO8CG/view?usp=drivesdk","Diablo 3 Jump.pdf")</f>
        <v>Diablo 3 Jump.pdf</v>
      </c>
      <c r="B2991" s="12" t="str">
        <f t="shared" si="261"/>
        <v>Reddit Jumpchain Drive/Completed/Named Folders of Reddit/Previous version of Reddit Jumps</v>
      </c>
    </row>
    <row r="2992">
      <c r="A2992" s="12" t="str">
        <f>HYPERLINK("https://drive.google.com/file/d/1_kdGEqjUHZFyVG56olY1JgegDbFiZOv-/view?usp=drivesdk","Freezing.pdf")</f>
        <v>Freezing.pdf</v>
      </c>
      <c r="B2992" s="12" t="str">
        <f t="shared" si="261"/>
        <v>Reddit Jumpchain Drive/Completed/Named Folders of Reddit/Previous version of Reddit Jumps</v>
      </c>
    </row>
    <row r="2993">
      <c r="A2993" s="12" t="str">
        <f>HYPERLINK("https://drive.google.com/file/d/1XluhY3vD0d19EBPRshXZF0Bv8-JzhEj-/view?usp=drivesdk","Zombie Estate 2 Gauntlet V1.0.pdf")</f>
        <v>Zombie Estate 2 Gauntlet V1.0.pdf</v>
      </c>
      <c r="B2993" s="12" t="str">
        <f t="shared" si="261"/>
        <v>Reddit Jumpchain Drive/Completed/Named Folders of Reddit/Previous version of Reddit Jumps</v>
      </c>
    </row>
    <row r="2994">
      <c r="A2994" s="12" t="str">
        <f>HYPERLINK("https://drive.google.com/file/d/17moAdNk7LdrfVZ2Mx9rlV1uCyF7aWrYw/view?usp=drivesdk","Jumper JumpChain.pdf")</f>
        <v>Jumper JumpChain.pdf</v>
      </c>
      <c r="B2994" s="12" t="str">
        <f t="shared" si="261"/>
        <v>Reddit Jumpchain Drive/Completed/Named Folders of Reddit/Previous version of Reddit Jumps</v>
      </c>
    </row>
    <row r="2995">
      <c r="A2995" s="12" t="str">
        <f>HYPERLINK("https://drive.google.com/file/d/1zy1vY0hmUHVkHV5Dz5FjqAcdRRX7Az6l/view?usp=drivesdk","Jobless In Another World JumpChain.pdf")</f>
        <v>Jobless In Another World JumpChain.pdf</v>
      </c>
      <c r="B2995" s="12" t="str">
        <f t="shared" si="261"/>
        <v>Reddit Jumpchain Drive/Completed/Named Folders of Reddit/Previous version of Reddit Jumps</v>
      </c>
    </row>
    <row r="2996">
      <c r="A2996" s="12" t="str">
        <f>HYPERLINK("https://drive.google.com/file/d/1Nxqi_-Ywab8MRWqSyIaJYoH-3cHltuiD/view?usp=drivesdk","Age of Mythology The Expansion Jump v1.0.pdf")</f>
        <v>Age of Mythology The Expansion Jump v1.0.pdf</v>
      </c>
      <c r="B2996" s="12" t="str">
        <f t="shared" si="261"/>
        <v>Reddit Jumpchain Drive/Completed/Named Folders of Reddit/Previous version of Reddit Jumps</v>
      </c>
    </row>
    <row r="2997">
      <c r="A2997" s="12" t="str">
        <f>HYPERLINK("https://drive.google.com/file/d/1dULE49rwVNpIpycxLkIRZZ2wMtCCu5od/view?usp=drivesdk","Cyberpunk 2077 Jump.pdf")</f>
        <v>Cyberpunk 2077 Jump.pdf</v>
      </c>
      <c r="B2997" s="12" t="str">
        <f t="shared" si="261"/>
        <v>Reddit Jumpchain Drive/Completed/Named Folders of Reddit/Previous version of Reddit Jumps</v>
      </c>
    </row>
    <row r="2998">
      <c r="A2998" s="12" t="str">
        <f>HYPERLINK("https://drive.google.com/file/d/1W1pJ34noHozuSo7cTPYhRdSy1K9-0m62/view?usp=drivesdk","Jumpchain - To the Moon.pdf")</f>
        <v>Jumpchain - To the Moon.pdf</v>
      </c>
      <c r="B2998" s="12" t="str">
        <f t="shared" si="261"/>
        <v>Reddit Jumpchain Drive/Completed/Named Folders of Reddit/Previous version of Reddit Jumps</v>
      </c>
    </row>
    <row r="2999">
      <c r="A2999" s="12" t="str">
        <f>HYPERLINK("https://drive.google.com/file/d/1eGtLUvk_f_HkwJ0szPp7ltLrdV79FBwe/view?usp=drivesdk","Library of Ruina v0.8.pdf")</f>
        <v>Library of Ruina v0.8.pdf</v>
      </c>
      <c r="B2999" s="12" t="str">
        <f t="shared" si="261"/>
        <v>Reddit Jumpchain Drive/Completed/Named Folders of Reddit/Previous version of Reddit Jumps</v>
      </c>
    </row>
    <row r="3000">
      <c r="A3000" s="12" t="str">
        <f>HYPERLINK("https://drive.google.com/file/d/1jHPYwbsbQR0OP0wq2yBKHcrb3eCzScjg/view?usp=drivesdk","Kamen Rider Faiz Jumpchain.pdf")</f>
        <v>Kamen Rider Faiz Jumpchain.pdf</v>
      </c>
      <c r="B3000" s="12" t="str">
        <f t="shared" si="261"/>
        <v>Reddit Jumpchain Drive/Completed/Named Folders of Reddit/Previous version of Reddit Jumps</v>
      </c>
    </row>
    <row r="3001">
      <c r="A3001" s="12" t="str">
        <f>HYPERLINK("https://drive.google.com/file/d/1fQJw_dJFPF2lZ0LqZrjHuIPV5LvRbVaT/view?usp=drivesdk","There Is No Epic Loot Here, Only Puns Jump (V1.1).pdf")</f>
        <v>There Is No Epic Loot Here, Only Puns Jump (V1.1).pdf</v>
      </c>
      <c r="B3001" s="12" t="str">
        <f t="shared" si="261"/>
        <v>Reddit Jumpchain Drive/Completed/Named Folders of Reddit/Previous version of Reddit Jumps</v>
      </c>
    </row>
    <row r="3002">
      <c r="A3002" s="12" t="str">
        <f>HYPERLINK("https://drive.google.com/file/d/1onnHe0eC_ccJ3wwDwARfkTKv4iJ-Xy8T/view?usp=drivesdk","There Is No Epic Loot Here, Only Puns Jump.pdf")</f>
        <v>There Is No Epic Loot Here, Only Puns Jump.pdf</v>
      </c>
      <c r="B3002" s="12" t="str">
        <f t="shared" si="261"/>
        <v>Reddit Jumpchain Drive/Completed/Named Folders of Reddit/Previous version of Reddit Jumps</v>
      </c>
    </row>
    <row r="3003">
      <c r="A3003" s="12" t="str">
        <f>HYPERLINK("https://drive.google.com/file/d/1N2C3tesfOq0bQQ5pOuarRxX66qtXHHWz/view?usp=drivesdk","Tera Jumpchain.pdf")</f>
        <v>Tera Jumpchain.pdf</v>
      </c>
      <c r="B3003" s="12" t="str">
        <f t="shared" si="261"/>
        <v>Reddit Jumpchain Drive/Completed/Named Folders of Reddit/Previous version of Reddit Jumps</v>
      </c>
    </row>
    <row r="3004">
      <c r="A3004" s="12" t="str">
        <f>HYPERLINK("https://drive.google.com/file/d/1KFEK4a3_PjsArB6nrY1e3HrBCkRyDvL7/view?usp=drivesdk","Azeroth_ Hearthstone Edition.pdf")</f>
        <v>Azeroth_ Hearthstone Edition.pdf</v>
      </c>
      <c r="B3004" s="12" t="str">
        <f t="shared" si="261"/>
        <v>Reddit Jumpchain Drive/Completed/Named Folders of Reddit/Previous version of Reddit Jumps</v>
      </c>
    </row>
    <row r="3005">
      <c r="A3005" s="12" t="str">
        <f>HYPERLINK("https://drive.google.com/file/d/1NVm-v_fYzkFy27n51ahfs--P1nahE-1B/view?usp=drivesdk","Science and Futurism with Isaac Arthur CYOA (Jumpchain Compatible).pdf")</f>
        <v>Science and Futurism with Isaac Arthur CYOA (Jumpchain Compatible).pdf</v>
      </c>
      <c r="B3005" s="12" t="str">
        <f t="shared" si="261"/>
        <v>Reddit Jumpchain Drive/Completed/Named Folders of Reddit/Previous version of Reddit Jumps</v>
      </c>
    </row>
    <row r="3006">
      <c r="A3006" s="12" t="str">
        <f>HYPERLINK("https://drive.google.com/file/d/1wtAAFHcQ9iHjcE5U38pwj-ineip-1oPa/view?usp=drivesdk","Cultist Simulator.pdf")</f>
        <v>Cultist Simulator.pdf</v>
      </c>
      <c r="B3006" s="12" t="str">
        <f t="shared" si="261"/>
        <v>Reddit Jumpchain Drive/Completed/Named Folders of Reddit/Previous version of Reddit Jumps</v>
      </c>
    </row>
    <row r="3007">
      <c r="A3007" s="12" t="str">
        <f>HYPERLINK("https://drive.google.com/file/d/1pRaxSLOzftNhecDEMojAg6cggR5OYZIF/view?usp=drivesdk","Bloodshot Jumpchain.pdf")</f>
        <v>Bloodshot Jumpchain.pdf</v>
      </c>
      <c r="B3007" s="12" t="str">
        <f t="shared" si="261"/>
        <v>Reddit Jumpchain Drive/Completed/Named Folders of Reddit/Previous version of Reddit Jumps</v>
      </c>
    </row>
    <row r="3008">
      <c r="A3008" s="12" t="str">
        <f>HYPERLINK("https://docs.google.com/document/d/1LOcIsqiUku9MjgOkRqfFOLbYQZg6rGI3/edit?usp=drivesdk&amp;ouid=115153177157280896651&amp;rtpof=true&amp;sd=true","Generic Endjump.docx")</f>
        <v>Generic Endjump.docx</v>
      </c>
      <c r="B3008" s="12" t="str">
        <f t="shared" si="261"/>
        <v>Reddit Jumpchain Drive/Completed/Named Folders of Reddit/Previous version of Reddit Jumps</v>
      </c>
    </row>
    <row r="3009">
      <c r="A3009" s="12" t="str">
        <f>HYPERLINK("https://docs.google.com/document/d/1kS3ZLrTK3fvgjDz1Z3UoB4lG49YO2JBP/edit?usp=drivesdk&amp;ouid=115153177157280896651&amp;rtpof=true&amp;sd=true","Age of Empires II.docx")</f>
        <v>Age of Empires II.docx</v>
      </c>
      <c r="B3009" s="12" t="str">
        <f t="shared" si="261"/>
        <v>Reddit Jumpchain Drive/Completed/Named Folders of Reddit/Previous version of Reddit Jumps</v>
      </c>
    </row>
    <row r="3010">
      <c r="A3010" s="12" t="str">
        <f>HYPERLINK("https://docs.google.com/document/d/1hFhS_PsoPuatuPUsvxRL1j-e7qSYUhf-/edit?usp=drivesdk&amp;ouid=115153177157280896651&amp;rtpof=true&amp;sd=true","Generic Endjump.docx")</f>
        <v>Generic Endjump.docx</v>
      </c>
      <c r="B3010" s="12" t="str">
        <f t="shared" si="261"/>
        <v>Reddit Jumpchain Drive/Completed/Named Folders of Reddit/Previous version of Reddit Jumps</v>
      </c>
    </row>
    <row r="3011">
      <c r="A3011" s="12" t="str">
        <f>HYPERLINK("https://docs.google.com/document/d/17cNb2uE6JZgFPV1xjYkNA_yLJEYUbzWROY9DBnTvCNw/edit?usp=drivesdk","Noita V2")</f>
        <v>Noita V2</v>
      </c>
      <c r="B3011" s="12" t="str">
        <f t="shared" si="261"/>
        <v>Reddit Jumpchain Drive/Completed/Named Folders of Reddit/Previous version of Reddit Jumps</v>
      </c>
    </row>
    <row r="3012">
      <c r="A3012" s="12" t="str">
        <f>HYPERLINK("https://drive.google.com/file/d/1mBYhEauh4S8kRuoCWuVUk3YHfIuD1A9l/view?usp=drivesdk","Noita V2.pdf")</f>
        <v>Noita V2.pdf</v>
      </c>
      <c r="B3012" s="12" t="str">
        <f t="shared" si="261"/>
        <v>Reddit Jumpchain Drive/Completed/Named Folders of Reddit/Previous version of Reddit Jumps</v>
      </c>
    </row>
    <row r="3013">
      <c r="A3013" s="12" t="str">
        <f>HYPERLINK("https://drive.google.com/file/d/1KUlcXl6oH2NsEzmx941lA9SMaKDN7Mev/view?usp=drivesdk","Anthem (1.4).pdf")</f>
        <v>Anthem (1.4).pdf</v>
      </c>
      <c r="B3013" s="12" t="str">
        <f t="shared" si="261"/>
        <v>Reddit Jumpchain Drive/Completed/Named Folders of Reddit/Previous version of Reddit Jumps</v>
      </c>
    </row>
    <row r="3014">
      <c r="A3014" s="12" t="str">
        <f>HYPERLINK("https://drive.google.com/file/d/1Mb_4BZ_R2fdF-F4eN_ViWXNU3_NJn0j0/view?usp=drivesdk","Jumpchain - Modded Celeste.pdf")</f>
        <v>Jumpchain - Modded Celeste.pdf</v>
      </c>
      <c r="B3014" s="12" t="str">
        <f t="shared" si="261"/>
        <v>Reddit Jumpchain Drive/Completed/Named Folders of Reddit/Previous version of Reddit Jumps</v>
      </c>
    </row>
    <row r="3015">
      <c r="A3015" s="12" t="str">
        <f>HYPERLINK("https://drive.google.com/file/d/1nk_xWcab8fPIkAGTXnKQU-L-wEeL_osF/view?usp=drivesdk","Noita V2.pdf")</f>
        <v>Noita V2.pdf</v>
      </c>
      <c r="B3015" s="12" t="str">
        <f t="shared" si="261"/>
        <v>Reddit Jumpchain Drive/Completed/Named Folders of Reddit/Previous version of Reddit Jumps</v>
      </c>
    </row>
    <row r="3016">
      <c r="A3016" s="12" t="str">
        <f>HYPERLINK("https://drive.google.com/file/d/1dkx9mK_1eejdK1-_9denTarYBGr4lX0J/view?usp=drivesdk","Noita V2.pdf")</f>
        <v>Noita V2.pdf</v>
      </c>
      <c r="B3016" s="12" t="str">
        <f t="shared" si="261"/>
        <v>Reddit Jumpchain Drive/Completed/Named Folders of Reddit/Previous version of Reddit Jumps</v>
      </c>
    </row>
    <row r="3017">
      <c r="A3017" s="12" t="str">
        <f>HYPERLINK("https://drive.google.com/file/d/1zEr_Lbo7gGQt8EXkAYRIi04d06bPsnHv/view?usp=drivesdk","Anthem Jump (version 1.3).pdf")</f>
        <v>Anthem Jump (version 1.3).pdf</v>
      </c>
      <c r="B3017" s="12" t="str">
        <f t="shared" si="261"/>
        <v>Reddit Jumpchain Drive/Completed/Named Folders of Reddit/Previous version of Reddit Jumps</v>
      </c>
    </row>
    <row r="3018">
      <c r="A3018" s="12" t="str">
        <f>HYPERLINK("https://drive.google.com/file/d/1kULqsjod2HleEWnVoG5ISP9dMxbIXFHG/view?usp=drivesdk","Batman_ Arkham Series.pdf")</f>
        <v>Batman_ Arkham Series.pdf</v>
      </c>
      <c r="B3018" s="12" t="str">
        <f t="shared" si="261"/>
        <v>Reddit Jumpchain Drive/Completed/Named Folders of Reddit/Previous version of Reddit Jumps</v>
      </c>
    </row>
    <row r="3019">
      <c r="A3019" s="12" t="str">
        <f>HYPERLINK("https://drive.google.com/file/d/1Yz3oJz3CmznpS_545xXzdeylME1WOkkQ/view?usp=drivesdk","Generic Modern World (2).pdf")</f>
        <v>Generic Modern World (2).pdf</v>
      </c>
      <c r="B3019" s="12" t="str">
        <f t="shared" si="261"/>
        <v>Reddit Jumpchain Drive/Completed/Named Folders of Reddit/Previous version of Reddit Jumps</v>
      </c>
    </row>
    <row r="3020">
      <c r="A3020" s="12" t="str">
        <f>HYPERLINK("https://drive.google.com/file/d/1_8WDgcdc_ZGEjFw46TUsi2-_xXTnkbKO/view?usp=drivesdk","Generic Modern World.pdf")</f>
        <v>Generic Modern World.pdf</v>
      </c>
      <c r="B3020" s="12" t="str">
        <f t="shared" si="261"/>
        <v>Reddit Jumpchain Drive/Completed/Named Folders of Reddit/Previous version of Reddit Jumps</v>
      </c>
    </row>
    <row r="3021">
      <c r="A3021" s="12" t="str">
        <f>HYPERLINK("https://drive.google.com/file/d/1GitfvK89aJMhmFoRp-yZ3WbXLynMkBLL/view?usp=drivesdk","Silver Comics v2.3.pdf")</f>
        <v>Silver Comics v2.3.pdf</v>
      </c>
      <c r="B3021" s="12" t="str">
        <f t="shared" si="261"/>
        <v>Reddit Jumpchain Drive/Completed/Named Folders of Reddit/Previous version of Reddit Jumps</v>
      </c>
    </row>
    <row r="3022">
      <c r="A3022" s="12" t="str">
        <f>HYPERLINK("https://drive.google.com/file/d/1-aYG8bPDWjvzVu_lFlmXaKbCQpVVVADw/view?usp=drivesdk","Generic Magic Academy v2.pdf")</f>
        <v>Generic Magic Academy v2.pdf</v>
      </c>
      <c r="B3022" s="12" t="str">
        <f t="shared" si="261"/>
        <v>Reddit Jumpchain Drive/Completed/Named Folders of Reddit/Previous version of Reddit Jumps</v>
      </c>
    </row>
    <row r="3023">
      <c r="A3023" s="12" t="str">
        <f>HYPERLINK("https://drive.google.com/file/d/1cPCe8T9_w32GYpWywIe5R_I-aYjNzLSa/view?usp=drivesdk","Fire Emblem 9-10 Jumpchain 1.0")</f>
        <v>Fire Emblem 9-10 Jumpchain 1.0</v>
      </c>
      <c r="B3023" s="12" t="str">
        <f t="shared" si="261"/>
        <v>Reddit Jumpchain Drive/Completed/Named Folders of Reddit/Previous version of Reddit Jumps</v>
      </c>
    </row>
    <row r="3024">
      <c r="A3024" s="12" t="str">
        <f>HYPERLINK("https://drive.google.com/file/d/1F_cxoT_puUSrNhSPxL9vNKuqkyppO-FW/view?usp=drivesdk","SUPERHOT.pdf")</f>
        <v>SUPERHOT.pdf</v>
      </c>
      <c r="B3024" s="12" t="str">
        <f t="shared" si="261"/>
        <v>Reddit Jumpchain Drive/Completed/Named Folders of Reddit/Previous version of Reddit Jumps</v>
      </c>
    </row>
    <row r="3025">
      <c r="A3025" s="12" t="str">
        <f>HYPERLINK("https://drive.google.com/file/d/1vwroG_kVPGXp-wXTtR8vM1hnkx7Ef-bM/view?usp=drivesdk","Naruto.pdf")</f>
        <v>Naruto.pdf</v>
      </c>
      <c r="B3025" s="12" t="str">
        <f t="shared" si="261"/>
        <v>Reddit Jumpchain Drive/Completed/Named Folders of Reddit/Previous version of Reddit Jumps</v>
      </c>
    </row>
    <row r="3026">
      <c r="A3026" s="12" t="str">
        <f>HYPERLINK("https://drive.google.com/file/d/1bZZmSNW2Qzopq69RA9lWMI74TCMmIeOM/view?usp=drivesdk","Generic Magic Academy.pdf")</f>
        <v>Generic Magic Academy.pdf</v>
      </c>
      <c r="B3026" s="12" t="str">
        <f t="shared" si="261"/>
        <v>Reddit Jumpchain Drive/Completed/Named Folders of Reddit/Previous version of Reddit Jumps</v>
      </c>
    </row>
    <row r="3027">
      <c r="A3027" s="12" t="str">
        <f>HYPERLINK("https://drive.google.com/file/d/1FiEMZqmgAyGoW-Ug4w4x8KiZJ2FjfAGx/view?usp=drivesdk","Song of Horror.pdf")</f>
        <v>Song of Horror.pdf</v>
      </c>
      <c r="B3027" s="12" t="str">
        <f t="shared" si="261"/>
        <v>Reddit Jumpchain Drive/Completed/Named Folders of Reddit/Previous version of Reddit Jumps</v>
      </c>
    </row>
    <row r="3028">
      <c r="A3028" s="12" t="str">
        <f>HYPERLINK("https://drive.google.com/file/d/1CS2o_QLyG6O_ODlz971BIcdAf6InJjXV/view?usp=drivesdk","AQW Jump WIP 3.pdf")</f>
        <v>AQW Jump WIP 3.pdf</v>
      </c>
      <c r="B3028" s="12" t="str">
        <f t="shared" si="261"/>
        <v>Reddit Jumpchain Drive/Completed/Named Folders of Reddit/Previous version of Reddit Jumps</v>
      </c>
    </row>
    <row r="3029">
      <c r="A3029" s="12" t="str">
        <f>HYPERLINK("https://drive.google.com/file/d/1MpToP0jGrZJSxTXBw8twesUgn6CpE55N/view?usp=drivesdk","Adventure Quest Worlds Jump WIP 4.1.pdf")</f>
        <v>Adventure Quest Worlds Jump WIP 4.1.pdf</v>
      </c>
      <c r="B3029" s="12" t="str">
        <f t="shared" si="261"/>
        <v>Reddit Jumpchain Drive/Completed/Named Folders of Reddit/Previous version of Reddit Jumps</v>
      </c>
    </row>
    <row r="3030">
      <c r="A3030" s="12" t="str">
        <f>HYPERLINK("https://drive.google.com/file/d/1ZS2mI-_AUCcC-Oj-2YQ_S7W-M-BCPy8h/view?usp=drivesdk","Elder Scrolls Skyrim SB Jump (1).pdf")</f>
        <v>Elder Scrolls Skyrim SB Jump (1).pdf</v>
      </c>
      <c r="B3030" s="12" t="str">
        <f t="shared" si="261"/>
        <v>Reddit Jumpchain Drive/Completed/Named Folders of Reddit/Previous version of Reddit Jumps</v>
      </c>
    </row>
    <row r="3031">
      <c r="A3031" s="12" t="str">
        <f>HYPERLINK("https://drive.google.com/file/d/1ZlKykgOL9C1VH0i7JjjeWc89B93B6PUc/view?usp=drivesdk","Elder Scrolls Skyrim SB Jump (1).pdf")</f>
        <v>Elder Scrolls Skyrim SB Jump (1).pdf</v>
      </c>
      <c r="B3031" s="12" t="str">
        <f t="shared" si="261"/>
        <v>Reddit Jumpchain Drive/Completed/Named Folders of Reddit/Previous version of Reddit Jumps</v>
      </c>
    </row>
    <row r="3032">
      <c r="A3032" s="12" t="str">
        <f>HYPERLINK("https://drive.google.com/file/d/19KzngwRSWThBcksucYJTxzaiIGFGlOiL/view?usp=drivesdk","The New Order_ Last Days of Europe Jump V1.0.pdf")</f>
        <v>The New Order_ Last Days of Europe Jump V1.0.pdf</v>
      </c>
      <c r="B3032" s="12" t="str">
        <f t="shared" si="261"/>
        <v>Reddit Jumpchain Drive/Completed/Named Folders of Reddit/Previous version of Reddit Jumps</v>
      </c>
    </row>
    <row r="3033">
      <c r="A3033" s="12" t="str">
        <f>HYPERLINK("https://drive.google.com/file/d/1ZPB-y2HtOUuRMBbKRNf2mGIoTBta2rRN/view?usp=drivesdk","Venomverse (1).pdf")</f>
        <v>Venomverse (1).pdf</v>
      </c>
      <c r="B3033" s="12" t="str">
        <f t="shared" si="261"/>
        <v>Reddit Jumpchain Drive/Completed/Named Folders of Reddit/Previous version of Reddit Jumps</v>
      </c>
    </row>
    <row r="3034">
      <c r="A3034" s="12" t="str">
        <f>HYPERLINK("https://drive.google.com/file/d/1Zc945grYU5aJJNmhaDT7kWoZWMUNY1DR/view?usp=drivesdk","Venomverse (1).pdf")</f>
        <v>Venomverse (1).pdf</v>
      </c>
      <c r="B3034" s="12" t="str">
        <f t="shared" si="261"/>
        <v>Reddit Jumpchain Drive/Completed/Named Folders of Reddit/Previous version of Reddit Jumps</v>
      </c>
    </row>
    <row r="3035">
      <c r="A3035" s="12" t="str">
        <f>HYPERLINK("https://drive.google.com/file/d/1NXJWy5Yh8DQfRsAaryj-mMMgmV5LiDPg/view?usp=drivesdk","Silver Comics version 2.pdf")</f>
        <v>Silver Comics version 2.pdf</v>
      </c>
      <c r="B3035" s="12" t="str">
        <f t="shared" si="261"/>
        <v>Reddit Jumpchain Drive/Completed/Named Folders of Reddit/Previous version of Reddit Jumps</v>
      </c>
    </row>
    <row r="3036">
      <c r="A3036" s="12" t="str">
        <f>HYPERLINK("https://drive.google.com/file/d/10vFgPtJVvCQyZN6FphCxoyG-RFyCMzQd/view?usp=drivesdk","Naruto Reddit.pdf")</f>
        <v>Naruto Reddit.pdf</v>
      </c>
      <c r="B3036" s="12" t="str">
        <f t="shared" si="261"/>
        <v>Reddit Jumpchain Drive/Completed/Named Folders of Reddit/Previous version of Reddit Jumps</v>
      </c>
    </row>
    <row r="3037">
      <c r="A3037" s="12" t="str">
        <f>HYPERLINK("https://drive.google.com/file/d/1L13VSEoykczczHWqgkcaLiHIJTAGYKAY/view?usp=drivesdk","Silver Comic.Pdf")</f>
        <v>Silver Comic.Pdf</v>
      </c>
      <c r="B3037" s="12" t="str">
        <f t="shared" si="261"/>
        <v>Reddit Jumpchain Drive/Completed/Named Folders of Reddit/Previous version of Reddit Jumps</v>
      </c>
    </row>
    <row r="3038">
      <c r="A3038" s="12" t="str">
        <f>HYPERLINK("https://drive.google.com/file/d/1qBxpY-C-8CneGBv-uSjKdLml9QI_s-9N/view?usp=drivesdk","Binding of Isaac Gauntlet supplement.pdf")</f>
        <v>Binding of Isaac Gauntlet supplement.pdf</v>
      </c>
      <c r="B3038" s="12" t="str">
        <f t="shared" si="261"/>
        <v>Reddit Jumpchain Drive/Completed/Named Folders of Reddit/Previous version of Reddit Jumps</v>
      </c>
    </row>
    <row r="3039">
      <c r="A3039" s="12" t="str">
        <f>HYPERLINK("https://drive.google.com/file/d/1ft_d-PACPRLJJ8GzMIvdVKR7ENcE3K_o/view?usp=drivesdk","Binding of Isaac Gauntlet supplement.pdf")</f>
        <v>Binding of Isaac Gauntlet supplement.pdf</v>
      </c>
      <c r="B3039" s="12" t="str">
        <f t="shared" si="261"/>
        <v>Reddit Jumpchain Drive/Completed/Named Folders of Reddit/Previous version of Reddit Jumps</v>
      </c>
    </row>
    <row r="3040">
      <c r="A3040" s="12" t="str">
        <f>HYPERLINK("https://drive.google.com/file/d/1Yow2wR4ysajbvkD86UwvifIkoGLDFEXt/view?usp=drivesdk","The Monster House(2006) Jump (1).pdf")</f>
        <v>The Monster House(2006) Jump (1).pdf</v>
      </c>
      <c r="B3040" s="12" t="str">
        <f t="shared" si="261"/>
        <v>Reddit Jumpchain Drive/Completed/Named Folders of Reddit/Previous version of Reddit Jumps</v>
      </c>
    </row>
    <row r="3041">
      <c r="A3041" s="12" t="str">
        <f>HYPERLINK("https://drive.google.com/file/d/1KC71C2VU51q1pQXNa0usmMAgueE-HX4G/view?usp=drivesdk","Dragon Ball Heroes Jump.pdf")</f>
        <v>Dragon Ball Heroes Jump.pdf</v>
      </c>
      <c r="B3041" s="12" t="str">
        <f t="shared" si="261"/>
        <v>Reddit Jumpchain Drive/Completed/Named Folders of Reddit/Previous version of Reddit Jumps</v>
      </c>
    </row>
    <row r="3042">
      <c r="A3042" s="12" t="str">
        <f>HYPERLINK("https://drive.google.com/file/d/1JEF_06Mg8c6fMUrrmMKbWLjZwN7Qhfl5/view?usp=drivesdk","Pale Jumpchain 0.6.pdf")</f>
        <v>Pale Jumpchain 0.6.pdf</v>
      </c>
      <c r="B3042" s="12" t="str">
        <f t="shared" si="261"/>
        <v>Reddit Jumpchain Drive/Completed/Named Folders of Reddit/Previous version of Reddit Jumps</v>
      </c>
    </row>
    <row r="3043">
      <c r="A3043" s="12" t="str">
        <f>HYPERLINK("https://drive.google.com/file/d/1tbZU78_DY2euoN8vaGijj9Cjuve-AvCK/view?usp=drivesdk","Dragon Age - v1.01.pdf")</f>
        <v>Dragon Age - v1.01.pdf</v>
      </c>
      <c r="B3043" s="12" t="str">
        <f t="shared" si="261"/>
        <v>Reddit Jumpchain Drive/Completed/Named Folders of Reddit/Previous version of Reddit Jumps</v>
      </c>
    </row>
    <row r="3044">
      <c r="A3044" s="12" t="str">
        <f>HYPERLINK("https://drive.google.com/file/d/1l3mzycxm7y0TxBFrGx5wsKC5oHGFXHCw/view?usp=drivesdk","Tyranny Jumpchain.pdf")</f>
        <v>Tyranny Jumpchain.pdf</v>
      </c>
      <c r="B3044" s="12" t="str">
        <f t="shared" si="261"/>
        <v>Reddit Jumpchain Drive/Completed/Named Folders of Reddit/Previous version of Reddit Jumps</v>
      </c>
    </row>
    <row r="3045">
      <c r="A3045" s="12" t="str">
        <f>HYPERLINK("https://drive.google.com/file/d/14t9MDLDy3xSxXWDHmKYQqjr9khRjZ1tI/view?usp=drivesdk","Dragon Age - Proper file size.pdf")</f>
        <v>Dragon Age - Proper file size.pdf</v>
      </c>
      <c r="B3045" s="12" t="str">
        <f t="shared" si="261"/>
        <v>Reddit Jumpchain Drive/Completed/Named Folders of Reddit/Previous version of Reddit Jumps</v>
      </c>
    </row>
    <row r="3046">
      <c r="A3046" s="12" t="str">
        <f>HYPERLINK("https://drive.google.com/file/d/1JP1miSWhAllHUedAwTu3miFsyrj3kfXP/view?usp=drivesdk","Dragon Age-compressed.pdf")</f>
        <v>Dragon Age-compressed.pdf</v>
      </c>
      <c r="B3046" s="12" t="str">
        <f t="shared" si="261"/>
        <v>Reddit Jumpchain Drive/Completed/Named Folders of Reddit/Previous version of Reddit Jumps</v>
      </c>
    </row>
    <row r="3047">
      <c r="A3047" s="12" t="str">
        <f>HYPERLINK("https://drive.google.com/file/d/1_ElOWs3NVtqz5goofrnYyBOZPgPugYwO/view?usp=drivesdk","Anthem Jump (version 1.2).pdf")</f>
        <v>Anthem Jump (version 1.2).pdf</v>
      </c>
      <c r="B3047" s="12" t="str">
        <f t="shared" si="261"/>
        <v>Reddit Jumpchain Drive/Completed/Named Folders of Reddit/Previous version of Reddit Jumps</v>
      </c>
    </row>
    <row r="3048">
      <c r="A3048" s="12" t="str">
        <f>HYPERLINK("https://drive.google.com/file/d/1yZS2nmyI0rYwD3irCB3FjsIK4DgNoboi/view?usp=drivesdk","Mushoku Tensei v0.1.pdf")</f>
        <v>Mushoku Tensei v0.1.pdf</v>
      </c>
      <c r="B3048" s="12" t="str">
        <f t="shared" si="261"/>
        <v>Reddit Jumpchain Drive/Completed/Named Folders of Reddit/Previous version of Reddit Jumps</v>
      </c>
    </row>
    <row r="3049">
      <c r="A3049" s="12" t="str">
        <f>HYPERLINK("https://drive.google.com/file/d/1L9cud_wVHAaYxW1wzKpqVuO-Jko4fTKR/view?usp=drivesdk","Generic Victorian.pdf")</f>
        <v>Generic Victorian.pdf</v>
      </c>
      <c r="B3049" s="12" t="str">
        <f t="shared" si="261"/>
        <v>Reddit Jumpchain Drive/Completed/Named Folders of Reddit/Previous version of Reddit Jumps</v>
      </c>
    </row>
    <row r="3050">
      <c r="A3050" s="12" t="str">
        <f>HYPERLINK("https://drive.google.com/file/d/1gSO3Ptl6vmgvjbCh8LnDvs0Zalr517MI/view?usp=drivesdk","Nasuverse Jumpchain - Version 1.0.0.pdf")</f>
        <v>Nasuverse Jumpchain - Version 1.0.0.pdf</v>
      </c>
      <c r="B3050" s="12" t="str">
        <f t="shared" si="261"/>
        <v>Reddit Jumpchain Drive/Completed/Named Folders of Reddit/Previous version of Reddit Jumps</v>
      </c>
    </row>
    <row r="3051">
      <c r="A3051" s="12" t="str">
        <f>HYPERLINK("https://drive.google.com/file/d/1tivqKY91Q-YmwaIOQhkv9wTQMQsOtMPO/view?usp=drivesdk","Dexter Jump.pdf")</f>
        <v>Dexter Jump.pdf</v>
      </c>
      <c r="B3051" s="12" t="str">
        <f t="shared" si="261"/>
        <v>Reddit Jumpchain Drive/Completed/Named Folders of Reddit/Previous version of Reddit Jumps</v>
      </c>
    </row>
    <row r="3052">
      <c r="A3052" s="12" t="str">
        <f>HYPERLINK("https://drive.google.com/file/d/1SqQ-EN6K03moHXkPY0ij2EctLUUxX3qv/view?usp=drivesdk","Supernatural.pdf")</f>
        <v>Supernatural.pdf</v>
      </c>
      <c r="B3052" s="12" t="str">
        <f t="shared" si="261"/>
        <v>Reddit Jumpchain Drive/Completed/Named Folders of Reddit/Previous version of Reddit Jumps</v>
      </c>
    </row>
    <row r="3053">
      <c r="A3053" s="12" t="str">
        <f>HYPERLINK("https://drive.google.com/file/d/17D0P7waisYu1b74Jp6G1dliM1g7fJ0qT/view?usp=drivesdk","Völgarr the Viking Gauntlet Ver 1.00.pdf")</f>
        <v>Völgarr the Viking Gauntlet Ver 1.00.pdf</v>
      </c>
      <c r="B3053" s="12" t="str">
        <f t="shared" si="261"/>
        <v>Reddit Jumpchain Drive/Completed/Named Folders of Reddit/Previous version of Reddit Jumps</v>
      </c>
    </row>
    <row r="3054">
      <c r="A3054" s="12" t="str">
        <f>HYPERLINK("https://drive.google.com/file/d/1upgoxDYzz8SwuWmei35NI411dw8Yiaxs/view?usp=drivesdk","My Little Pony Friendship Is Magic.pdf")</f>
        <v>My Little Pony Friendship Is Magic.pdf</v>
      </c>
      <c r="B3054" s="12" t="str">
        <f t="shared" si="261"/>
        <v>Reddit Jumpchain Drive/Completed/Named Folders of Reddit/Previous version of Reddit Jumps</v>
      </c>
    </row>
    <row r="3055">
      <c r="A3055" s="12" t="str">
        <f>HYPERLINK("https://drive.google.com/file/d/1D3Czorv58h2igl6NWU4LkGGLGZ5ipwuG/view?usp=drivesdk","Generic RWBY Fanfiction Jump (5).pdf")</f>
        <v>Generic RWBY Fanfiction Jump (5).pdf</v>
      </c>
      <c r="B3055" s="12" t="str">
        <f t="shared" si="261"/>
        <v>Reddit Jumpchain Drive/Completed/Named Folders of Reddit/Previous version of Reddit Jumps</v>
      </c>
    </row>
    <row r="3056">
      <c r="A3056" s="12" t="str">
        <f>HYPERLINK("https://drive.google.com/file/d/1m92Y9EZ68KGCG_-GnbqNKkahcYJE3BBe/view?usp=drivesdk","My Little Pony Friendship Is Magic.pdf")</f>
        <v>My Little Pony Friendship Is Magic.pdf</v>
      </c>
      <c r="B3056" s="12" t="str">
        <f t="shared" si="261"/>
        <v>Reddit Jumpchain Drive/Completed/Named Folders of Reddit/Previous version of Reddit Jumps</v>
      </c>
    </row>
    <row r="3057">
      <c r="A3057" s="12" t="str">
        <f>HYPERLINK("https://drive.google.com/file/d/1-gYqLWn9ebsKQcfi4p5UZFHbhTxni-vE/view?usp=drivesdk","Metal Gear Rising_ Revengeance v1.pdf")</f>
        <v>Metal Gear Rising_ Revengeance v1.pdf</v>
      </c>
      <c r="B3057" s="12" t="str">
        <f t="shared" si="261"/>
        <v>Reddit Jumpchain Drive/Completed/Named Folders of Reddit/Previous version of Reddit Jumps</v>
      </c>
    </row>
    <row r="3058">
      <c r="A3058" s="12" t="str">
        <f>HYPERLINK("https://docs.google.com/document/d/11CGGfef3yfPtpbsZ-b7M3FDUtxwTJHCRnCeVuRw62wQ/edit?usp=drivesdk","TheSecretReturnJumpchainv0.4")</f>
        <v>TheSecretReturnJumpchainv0.4</v>
      </c>
      <c r="B3058" s="12" t="str">
        <f t="shared" si="261"/>
        <v>Reddit Jumpchain Drive/Completed/Named Folders of Reddit/Previous version of Reddit Jumps</v>
      </c>
    </row>
    <row r="3059">
      <c r="A3059" s="12" t="str">
        <f>HYPERLINK("https://docs.google.com/document/d/1FEnd9wcZ-MT-hlJGevsips7fG19bud4jLfiQ_UPhG9A/edit?usp=drivesdk","TheSecretReturnJumpchainv0.4")</f>
        <v>TheSecretReturnJumpchainv0.4</v>
      </c>
      <c r="B3059" s="12" t="str">
        <f t="shared" si="261"/>
        <v>Reddit Jumpchain Drive/Completed/Named Folders of Reddit/Previous version of Reddit Jumps</v>
      </c>
    </row>
    <row r="3060">
      <c r="A3060" s="12" t="str">
        <f>HYPERLINK("https://docs.google.com/document/d/1FEFs1tLJ4UUHGowstjb_8pr1ONp71TpL3ZroDY8CRDs/edit?usp=drivesdk","TheSecretReturnJumpchainv0.4")</f>
        <v>TheSecretReturnJumpchainv0.4</v>
      </c>
      <c r="B3060" s="12" t="str">
        <f t="shared" si="261"/>
        <v>Reddit Jumpchain Drive/Completed/Named Folders of Reddit/Previous version of Reddit Jumps</v>
      </c>
    </row>
    <row r="3061">
      <c r="A3061" s="12" t="str">
        <f>HYPERLINK("https://docs.google.com/document/d/1id3StOW2_PWPoupseDuBo_VjwYjz-rPsKfescjBoj68/edit?usp=drivesdk","TheSecretReturnJumpchainv0.3")</f>
        <v>TheSecretReturnJumpchainv0.3</v>
      </c>
      <c r="B3061" s="12" t="str">
        <f t="shared" si="261"/>
        <v>Reddit Jumpchain Drive/Completed/Named Folders of Reddit/Previous version of Reddit Jumps</v>
      </c>
    </row>
    <row r="3062">
      <c r="A3062" s="12" t="str">
        <f>HYPERLINK("https://drive.google.com/file/d/1KnZ2P2Z65NUKQIQ_P0ouLTGMV4i1tswx/view?usp=drivesdk","Duck_Dodgers_Jump")</f>
        <v>Duck_Dodgers_Jump</v>
      </c>
      <c r="B3062" s="12" t="str">
        <f t="shared" si="261"/>
        <v>Reddit Jumpchain Drive/Completed/Named Folders of Reddit/Previous version of Reddit Jumps</v>
      </c>
    </row>
    <row r="3063">
      <c r="A3063" s="12" t="str">
        <f>HYPERLINK("https://drive.google.com/file/d/15qpQjoKvpZUgwL3uteItO-8oYbfChTsl/view?usp=drivesdk","The Last Human Jump V1.1.pdf")</f>
        <v>The Last Human Jump V1.1.pdf</v>
      </c>
      <c r="B3063" s="12" t="str">
        <f t="shared" si="261"/>
        <v>Reddit Jumpchain Drive/Completed/Named Folders of Reddit/Previous version of Reddit Jumps</v>
      </c>
    </row>
    <row r="3064">
      <c r="A3064" s="12" t="str">
        <f>HYPERLINK("https://drive.google.com/file/d/1Y3C3ij6_Q6WytvmbXkpADfRnPsVJVBRW/view?usp=drivesdk","Duck Dodgers Jump")</f>
        <v>Duck Dodgers Jump</v>
      </c>
      <c r="B3064" s="12" t="str">
        <f t="shared" si="261"/>
        <v>Reddit Jumpchain Drive/Completed/Named Folders of Reddit/Previous version of Reddit Jumps</v>
      </c>
    </row>
    <row r="3065">
      <c r="A3065" s="12" t="str">
        <f>HYPERLINK("https://drive.google.com/file/d/1xzK8QhuVKZU0gNXvx4GYJXLHkwn9_vSm/view?usp=drivesdk","Toaster Dude v.1.1 (1).pdf")</f>
        <v>Toaster Dude v.1.1 (1).pdf</v>
      </c>
      <c r="B3065" s="12" t="str">
        <f t="shared" si="261"/>
        <v>Reddit Jumpchain Drive/Completed/Named Folders of Reddit/Previous version of Reddit Jumps</v>
      </c>
    </row>
    <row r="3066">
      <c r="A3066" s="12" t="str">
        <f>HYPERLINK("https://drive.google.com/file/d/11z0kx2OZmF8smD3KdG3N7Fw_r-y-JBCk/view?usp=drivesdk","Duck_Dodgers_Jump.pdf")</f>
        <v>Duck_Dodgers_Jump.pdf</v>
      </c>
      <c r="B3066" s="12" t="str">
        <f t="shared" si="261"/>
        <v>Reddit Jumpchain Drive/Completed/Named Folders of Reddit/Previous version of Reddit Jumps</v>
      </c>
    </row>
    <row r="3067">
      <c r="A3067" s="12" t="str">
        <f>HYPERLINK("https://drive.google.com/file/d/1IKeWFGRhTkxirmLZ3czZhaYw3Ai11PLG/view?usp=drivesdk","Generic Convention Jumpchain v.1.pdf")</f>
        <v>Generic Convention Jumpchain v.1.pdf</v>
      </c>
      <c r="B3067" s="12" t="str">
        <f t="shared" si="261"/>
        <v>Reddit Jumpchain Drive/Completed/Named Folders of Reddit/Previous version of Reddit Jumps</v>
      </c>
    </row>
    <row r="3068">
      <c r="A3068" s="12" t="str">
        <f>HYPERLINK("https://docs.google.com/document/d/1BGPoF6JdvDZHXAQf6SD3TqZaZWepPoKiZlqdrRsyvR4/edit?usp=drivesdk","Elder Scrolls Skyrim SB Jump")</f>
        <v>Elder Scrolls Skyrim SB Jump</v>
      </c>
      <c r="B3068" s="12" t="str">
        <f t="shared" si="261"/>
        <v>Reddit Jumpchain Drive/Completed/Named Folders of Reddit/Previous version of Reddit Jumps</v>
      </c>
    </row>
    <row r="3069">
      <c r="A3069" s="12" t="str">
        <f>HYPERLINK("https://drive.google.com/file/d/1bohZ9jn9R_nAX0134Nhupz17zUsqjSv8/view?usp=drivesdk","Planet Hulk v1.1.pdf")</f>
        <v>Planet Hulk v1.1.pdf</v>
      </c>
      <c r="B3069" s="12" t="str">
        <f t="shared" si="261"/>
        <v>Reddit Jumpchain Drive/Completed/Named Folders of Reddit/Previous version of Reddit Jumps</v>
      </c>
    </row>
    <row r="3070">
      <c r="A3070" s="12" t="str">
        <f>HYPERLINK("https://drive.google.com/file/d/1flIAAFnS1IylEMJtDJJ-j7d2F7qo5XWz/view?usp=drivesdk","Indestructible Hulk v1.1.pdf")</f>
        <v>Indestructible Hulk v1.1.pdf</v>
      </c>
      <c r="B3070" s="12" t="str">
        <f t="shared" si="261"/>
        <v>Reddit Jumpchain Drive/Completed/Named Folders of Reddit/Previous version of Reddit Jumps</v>
      </c>
    </row>
    <row r="3071">
      <c r="A3071" s="12" t="str">
        <f>HYPERLINK("https://drive.google.com/file/d/1ibNvBJWBAEr-f7XoG0vybev6K080CRBK/view?usp=drivesdk","DragonBall Fu JumpChain.pdf")</f>
        <v>DragonBall Fu JumpChain.pdf</v>
      </c>
      <c r="B3071" s="12" t="str">
        <f t="shared" si="261"/>
        <v>Reddit Jumpchain Drive/Completed/Named Folders of Reddit/Previous version of Reddit Jumps</v>
      </c>
    </row>
    <row r="3072">
      <c r="A3072" s="12" t="str">
        <f>HYPERLINK("https://drive.google.com/file/d/1fUeTs8yoah6LlcmcrWK_pmH4UrQGtS6q/view?usp=drivesdk","Generic Gamer Jump v1.1.pdf")</f>
        <v>Generic Gamer Jump v1.1.pdf</v>
      </c>
      <c r="B3072" s="12" t="str">
        <f t="shared" si="261"/>
        <v>Reddit Jumpchain Drive/Completed/Named Folders of Reddit/Previous version of Reddit Jumps</v>
      </c>
    </row>
    <row r="3073">
      <c r="A3073" s="12" t="str">
        <f>HYPERLINK("https://drive.google.com/file/d/1UERq9KXrypjADaU7H29spdzBjyCeSC9U/view?usp=drivesdk","Colony (2009) Jump.pdf")</f>
        <v>Colony (2009) Jump.pdf</v>
      </c>
      <c r="B3073" s="12" t="str">
        <f t="shared" si="261"/>
        <v>Reddit Jumpchain Drive/Completed/Named Folders of Reddit/Previous version of Reddit Jumps</v>
      </c>
    </row>
    <row r="3074">
      <c r="A3074" s="12" t="str">
        <f>HYPERLINK("https://drive.google.com/file/d/1UVuepzfGQK-FPzeVc82fF65PRKssgJ9q/view?usp=drivesdk","Planet Hulk v1.pdf")</f>
        <v>Planet Hulk v1.pdf</v>
      </c>
      <c r="B3074" s="12" t="str">
        <f t="shared" si="261"/>
        <v>Reddit Jumpchain Drive/Completed/Named Folders of Reddit/Previous version of Reddit Jumps</v>
      </c>
    </row>
    <row r="3075">
      <c r="A3075" s="12" t="str">
        <f>HYPERLINK("https://drive.google.com/file/d/1ZUGw1KWWyrhOX7reMo8m-F1ObAasfpHY/view?usp=drivesdk","World War Hulk v1.pdf")</f>
        <v>World War Hulk v1.pdf</v>
      </c>
      <c r="B3075" s="12" t="str">
        <f t="shared" si="261"/>
        <v>Reddit Jumpchain Drive/Completed/Named Folders of Reddit/Previous version of Reddit Jumps</v>
      </c>
    </row>
    <row r="3076">
      <c r="A3076" s="12" t="str">
        <f>HYPERLINK("https://drive.google.com/file/d/1Ub0_k5INSoNKVweEPLqP3vdGoa7o-PHH/view?usp=drivesdk","World War Hulk v1.1.pdf")</f>
        <v>World War Hulk v1.1.pdf</v>
      </c>
      <c r="B3076" s="12" t="str">
        <f t="shared" si="261"/>
        <v>Reddit Jumpchain Drive/Completed/Named Folders of Reddit/Previous version of Reddit Jumps</v>
      </c>
    </row>
    <row r="3077">
      <c r="A3077" s="12" t="str">
        <f>HYPERLINK("https://docs.google.com/document/d/15i7i7clOHDQ6lPNHss84MlR4ESxHDwFu/edit?usp=drivesdk&amp;ouid=115153177157280896651&amp;rtpof=true&amp;sd=true","Schooled in Magic Jumpchain.docx")</f>
        <v>Schooled in Magic Jumpchain.docx</v>
      </c>
      <c r="B3077" s="12" t="str">
        <f t="shared" si="261"/>
        <v>Reddit Jumpchain Drive/Completed/Named Folders of Reddit/Previous version of Reddit Jumps</v>
      </c>
    </row>
    <row r="3078">
      <c r="A3078" s="12" t="str">
        <f>HYPERLINK("https://drive.google.com/file/d/108Pe-Ob3wupEKwGrzcK_K9JoErvaO1s6/view?usp=drivesdk","Noita Jumpchain.pdf")</f>
        <v>Noita Jumpchain.pdf</v>
      </c>
      <c r="B3078" s="12" t="str">
        <f t="shared" si="261"/>
        <v>Reddit Jumpchain Drive/Completed/Named Folders of Reddit/Previous version of Reddit Jumps</v>
      </c>
    </row>
    <row r="3079">
      <c r="A3079" s="12" t="str">
        <f>HYPERLINK("https://drive.google.com/file/d/14oNlBzRWdQ3n_XDHP97ZMRmvQddHU0OD/view?usp=drivesdk","Generic Gamer Jump")</f>
        <v>Generic Gamer Jump</v>
      </c>
      <c r="B3079" s="12" t="str">
        <f t="shared" si="261"/>
        <v>Reddit Jumpchain Drive/Completed/Named Folders of Reddit/Previous version of Reddit Jumps</v>
      </c>
    </row>
    <row r="3080">
      <c r="A3080" s="12" t="str">
        <f>HYPERLINK("https://drive.google.com/file/d/1Aj4e21bz9VrPDPaNushxiBRrlUgTmDJF/view?usp=drivesdk","Tower of Guns Gauntlet.pdf")</f>
        <v>Tower of Guns Gauntlet.pdf</v>
      </c>
      <c r="B3080" s="12" t="str">
        <f t="shared" si="261"/>
        <v>Reddit Jumpchain Drive/Completed/Named Folders of Reddit/Previous version of Reddit Jumps</v>
      </c>
    </row>
    <row r="3081">
      <c r="A3081" s="12" t="str">
        <f>HYPERLINK("https://drive.google.com/file/d/1zqnMMnAr3yR0-pGYCGqdzh-KGaa4HIL-/view?usp=drivesdk","The Order Jumpchain 1.1.pdf")</f>
        <v>The Order Jumpchain 1.1.pdf</v>
      </c>
      <c r="B3081" s="12" t="str">
        <f t="shared" si="261"/>
        <v>Reddit Jumpchain Drive/Completed/Named Folders of Reddit/Previous version of Reddit Jumps</v>
      </c>
    </row>
    <row r="3082">
      <c r="A3082" s="12" t="str">
        <f>HYPERLINK("https://drive.google.com/file/d/1AnO5NLOukxjEycMGK5s9gdOx7CTTjLxY/view?usp=drivesdk","The Order Jumpchain 1.0 (6).pdf")</f>
        <v>The Order Jumpchain 1.0 (6).pdf</v>
      </c>
      <c r="B3082" s="12" t="str">
        <f t="shared" si="261"/>
        <v>Reddit Jumpchain Drive/Completed/Named Folders of Reddit/Previous version of Reddit Jumps</v>
      </c>
    </row>
    <row r="3083">
      <c r="A3083" s="12" t="str">
        <f>HYPERLINK("https://drive.google.com/file/d/1eeAYChXQfFiHHBQ8_1z9ivt91RqrAQk2/view?usp=drivesdk","Civilizaton_ Beyond Earth Jumpchain.pdf")</f>
        <v>Civilizaton_ Beyond Earth Jumpchain.pdf</v>
      </c>
      <c r="B3083" s="12" t="str">
        <f t="shared" si="261"/>
        <v>Reddit Jumpchain Drive/Completed/Named Folders of Reddit/Previous version of Reddit Jumps</v>
      </c>
    </row>
    <row r="3084">
      <c r="A3084" s="12" t="str">
        <f>HYPERLINK("https://drive.google.com/file/d/1GJ1y6JJWsWbKvINDO7fDOer9dkiJg53p/view?usp=drivesdk","Toaster Dude.pdf")</f>
        <v>Toaster Dude.pdf</v>
      </c>
      <c r="B3084" s="12" t="str">
        <f t="shared" si="261"/>
        <v>Reddit Jumpchain Drive/Completed/Named Folders of Reddit/Previous version of Reddit Jumps</v>
      </c>
    </row>
    <row r="3085">
      <c r="A3085" s="12" t="str">
        <f>HYPERLINK("https://docs.google.com/document/d/1zQcfM26Xe3MpcQyMZ2hbq_6ujofSQNoaYQsBDzjKEuY/edit?usp=drivesdk","Generic Urban Fantasy Jumpchain 2.0")</f>
        <v>Generic Urban Fantasy Jumpchain 2.0</v>
      </c>
      <c r="B3085" s="12" t="str">
        <f t="shared" si="261"/>
        <v>Reddit Jumpchain Drive/Completed/Named Folders of Reddit/Previous version of Reddit Jumps</v>
      </c>
    </row>
    <row r="3086">
      <c r="A3086" s="12" t="str">
        <f>HYPERLINK("https://drive.google.com/file/d/1Kr3vLggEztdGjmX0aRw4_RWtSFdu6mtP/view?usp=drivesdk","Lord El-Melloi Case Files Jumpchain 2.3.pdf")</f>
        <v>Lord El-Melloi Case Files Jumpchain 2.3.pdf</v>
      </c>
      <c r="B3086" s="12" t="str">
        <f t="shared" si="261"/>
        <v>Reddit Jumpchain Drive/Completed/Named Folders of Reddit/Previous version of Reddit Jumps</v>
      </c>
    </row>
    <row r="3087">
      <c r="A3087" s="12" t="str">
        <f>HYPERLINK("https://drive.google.com/file/d/18JaMUheGRyxmseaIM2EQouNIs3FIjM6Q/view?usp=drivesdk","Generic Cartoon World v1.5.pdf")</f>
        <v>Generic Cartoon World v1.5.pdf</v>
      </c>
      <c r="B3087" s="12" t="str">
        <f t="shared" si="261"/>
        <v>Reddit Jumpchain Drive/Completed/Named Folders of Reddit/Previous version of Reddit Jumps</v>
      </c>
    </row>
    <row r="3088">
      <c r="A3088" s="12" t="str">
        <f>HYPERLINK("https://drive.google.com/file/d/1Py1f39rLOwUZEDLUeDeEfs17hgtsOQ7m/view?usp=drivesdk","Elder Scrolls Skyrim SB Jump.pdf")</f>
        <v>Elder Scrolls Skyrim SB Jump.pdf</v>
      </c>
      <c r="B3088" s="12" t="str">
        <f t="shared" si="261"/>
        <v>Reddit Jumpchain Drive/Completed/Named Folders of Reddit/Previous version of Reddit Jumps</v>
      </c>
    </row>
    <row r="3089">
      <c r="A3089" s="12" t="str">
        <f>HYPERLINK("https://drive.google.com/file/d/16BW1wElBq_8bU5B5edGDRm3bslUXk265/view?usp=drivesdk","Kamen Rider world of negatives wip.pdf")</f>
        <v>Kamen Rider world of negatives wip.pdf</v>
      </c>
      <c r="B3089" s="12" t="str">
        <f t="shared" si="261"/>
        <v>Reddit Jumpchain Drive/Completed/Named Folders of Reddit/Previous version of Reddit Jumps</v>
      </c>
    </row>
    <row r="3090">
      <c r="A3090" s="12" t="str">
        <f>HYPERLINK("https://drive.google.com/file/d/1jxECHqa1q03bI2Nb4QqcSzaR1KRVzRK9/view?usp=drivesdk","Superman Red Son.pdf")</f>
        <v>Superman Red Son.pdf</v>
      </c>
      <c r="B3090" s="12" t="str">
        <f t="shared" si="261"/>
        <v>Reddit Jumpchain Drive/Completed/Named Folders of Reddit/Previous version of Reddit Jumps</v>
      </c>
    </row>
    <row r="3091">
      <c r="A3091" s="12" t="str">
        <f>HYPERLINK("https://drive.google.com/file/d/1S-02dkjoV8-6eyM4cZ40kw2xAVEEyKeh/view?usp=drivesdk","Anthem Jump (version 1.1).pdf")</f>
        <v>Anthem Jump (version 1.1).pdf</v>
      </c>
      <c r="B3091" s="12" t="str">
        <f t="shared" si="261"/>
        <v>Reddit Jumpchain Drive/Completed/Named Folders of Reddit/Previous version of Reddit Jumps</v>
      </c>
    </row>
    <row r="3092">
      <c r="A3092" s="12" t="str">
        <f>HYPERLINK("https://drive.google.com/file/d/1mN2bG3MVX5ZSZ5wgdeSvghdKoT4ORysn/view?usp=drivesdk","Ghostrunner Gauntlet.pdf")</f>
        <v>Ghostrunner Gauntlet.pdf</v>
      </c>
      <c r="B3092" s="12" t="str">
        <f t="shared" si="261"/>
        <v>Reddit Jumpchain Drive/Completed/Named Folders of Reddit/Previous version of Reddit Jumps</v>
      </c>
    </row>
    <row r="3093">
      <c r="A3093" s="12" t="str">
        <f>HYPERLINK("https://drive.google.com/file/d/1U8RNLwYgD1bgKIYFvB5Lqqn2tO1Ovz6g/view?usp=drivesdk","Indestrucible Hulk.pdf")</f>
        <v>Indestrucible Hulk.pdf</v>
      </c>
      <c r="B3093" s="12" t="str">
        <f t="shared" si="261"/>
        <v>Reddit Jumpchain Drive/Completed/Named Folders of Reddit/Previous version of Reddit Jumps</v>
      </c>
    </row>
    <row r="3094">
      <c r="A3094" s="12" t="str">
        <f>HYPERLINK("https://drive.google.com/file/d/1uz6zsKxYWSni6xJ9-m6lCWxRP-mm5Y58/view?usp=drivesdk","The Pirates of Dark Water jump v1.0.pdf")</f>
        <v>The Pirates of Dark Water jump v1.0.pdf</v>
      </c>
      <c r="B3094" s="12" t="str">
        <f t="shared" si="261"/>
        <v>Reddit Jumpchain Drive/Completed/Named Folders of Reddit/Previous version of Reddit Jumps</v>
      </c>
    </row>
    <row r="3095">
      <c r="A3095" s="12" t="str">
        <f>HYPERLINK("https://drive.google.com/file/d/1ltAKJzhkU7gCy4G6jQShjO-BXrsaB5Z5/view?usp=drivesdk","Generic Pokemon Mystery Dungeon AU Jumpchain v1.1.pdf")</f>
        <v>Generic Pokemon Mystery Dungeon AU Jumpchain v1.1.pdf</v>
      </c>
      <c r="B3095" s="12" t="str">
        <f t="shared" si="261"/>
        <v>Reddit Jumpchain Drive/Completed/Named Folders of Reddit/Previous version of Reddit Jumps</v>
      </c>
    </row>
    <row r="3096">
      <c r="A3096" s="12" t="str">
        <f>HYPERLINK("https://drive.google.com/file/d/1F6Md-l_v7Y0FoEzBRunxbchHuskbBK6T/view?usp=drivesdk","Hades Jumpchain.pdf")</f>
        <v>Hades Jumpchain.pdf</v>
      </c>
      <c r="B3096" s="12" t="str">
        <f t="shared" si="261"/>
        <v>Reddit Jumpchain Drive/Completed/Named Folders of Reddit/Previous version of Reddit Jumps</v>
      </c>
    </row>
    <row r="3097">
      <c r="A3097" s="12" t="str">
        <f>HYPERLINK("https://drive.google.com/file/d/1hMMbix8f85bbbsTtEEVmHZXXAH84oCxQ/view?usp=drivesdk","Saw Gauntlet v.1.1.pdf")</f>
        <v>Saw Gauntlet v.1.1.pdf</v>
      </c>
      <c r="B3097" s="12" t="str">
        <f t="shared" si="261"/>
        <v>Reddit Jumpchain Drive/Completed/Named Folders of Reddit/Previous version of Reddit Jumps</v>
      </c>
    </row>
    <row r="3098">
      <c r="A3098" s="12" t="str">
        <f>HYPERLINK("https://drive.google.com/file/d/1ZIT2z3ul8AZaUhlIpuul7Y4_oc8EhGS8/view?usp=drivesdk","Ape Escape 3 Jumpchain (2).pdf")</f>
        <v>Ape Escape 3 Jumpchain (2).pdf</v>
      </c>
      <c r="B3098" s="12" t="str">
        <f t="shared" si="261"/>
        <v>Reddit Jumpchain Drive/Completed/Named Folders of Reddit/Previous version of Reddit Jumps</v>
      </c>
    </row>
    <row r="3099">
      <c r="A3099" s="12" t="str">
        <f>HYPERLINK("https://drive.google.com/file/d/1lES-gZ5XKojb97EK2J4DD3CekoYA_xM1/view?usp=drivesdk","The Monster House(2006) Jump.pdf")</f>
        <v>The Monster House(2006) Jump.pdf</v>
      </c>
      <c r="B3099" s="12" t="str">
        <f t="shared" si="261"/>
        <v>Reddit Jumpchain Drive/Completed/Named Folders of Reddit/Previous version of Reddit Jumps</v>
      </c>
    </row>
    <row r="3100">
      <c r="A3100" s="12" t="str">
        <f>HYPERLINK("https://drive.google.com/file/d/1inkSl3qs1MD0lgW3SoiR8V_GSSApDcGk/view?usp=drivesdk","DC Earth 2 Jumpchain.pdf")</f>
        <v>DC Earth 2 Jumpchain.pdf</v>
      </c>
      <c r="B3100" s="12" t="str">
        <f t="shared" si="261"/>
        <v>Reddit Jumpchain Drive/Completed/Named Folders of Reddit/Previous version of Reddit Jumps</v>
      </c>
    </row>
    <row r="3101">
      <c r="A3101" s="12" t="str">
        <f>HYPERLINK("https://drive.google.com/file/d/1sx1mSci2tI_X5FKTiDr7hY2yuklAwDYS/view?usp=drivesdk","Sims 4 Jumpchain 1.10.pdf")</f>
        <v>Sims 4 Jumpchain 1.10.pdf</v>
      </c>
      <c r="B3101" s="12" t="str">
        <f t="shared" si="261"/>
        <v>Reddit Jumpchain Drive/Completed/Named Folders of Reddit/Previous version of Reddit Jumps</v>
      </c>
    </row>
    <row r="3102">
      <c r="A3102" s="12" t="str">
        <f>HYPERLINK("https://drive.google.com/file/d/1JoSjVK0CJ7DFpqo5KfFQmuZesUG49z1w/view?usp=drivesdk","Venomverse")</f>
        <v>Venomverse</v>
      </c>
      <c r="B3102" s="12" t="str">
        <f t="shared" si="261"/>
        <v>Reddit Jumpchain Drive/Completed/Named Folders of Reddit/Previous version of Reddit Jumps</v>
      </c>
    </row>
    <row r="3103">
      <c r="A3103" s="12" t="str">
        <f>HYPERLINK("https://drive.google.com/file/d/1ZEtlh4PbBaFwM54pisq_cA0OVW4dkBnw/view?usp=drivesdk","Re_Monster JumpChain 1 (1).0")</f>
        <v>Re_Monster JumpChain 1 (1).0</v>
      </c>
      <c r="B3103" s="12" t="str">
        <f t="shared" si="261"/>
        <v>Reddit Jumpchain Drive/Completed/Named Folders of Reddit/Previous version of Reddit Jumps</v>
      </c>
    </row>
    <row r="3104">
      <c r="A3104" s="12" t="str">
        <f>HYPERLINK("https://drive.google.com/file/d/1pv4VlcGCQKpkzEZ6PENSS21Jc_-owkkT/view?usp=drivesdk","Generic Mecha Jump v1.0.pdf")</f>
        <v>Generic Mecha Jump v1.0.pdf</v>
      </c>
      <c r="B3104" s="12" t="str">
        <f t="shared" si="261"/>
        <v>Reddit Jumpchain Drive/Completed/Named Folders of Reddit/Previous version of Reddit Jumps</v>
      </c>
    </row>
    <row r="3105">
      <c r="A3105" s="12" t="str">
        <f>HYPERLINK("https://drive.google.com/file/d/1Yx0NI1niGWadtPlKDKEWd3gwJCGJNXNM/view?usp=drivesdk","Dying Light (1).pdf")</f>
        <v>Dying Light (1).pdf</v>
      </c>
      <c r="B3105" s="12" t="str">
        <f t="shared" si="261"/>
        <v>Reddit Jumpchain Drive/Completed/Named Folders of Reddit/Previous version of Reddit Jumps</v>
      </c>
    </row>
    <row r="3106">
      <c r="A3106" s="12" t="str">
        <f>HYPERLINK("https://drive.google.com/file/d/1Yyjd8uJDCp7INu5z6ucDq_OWYzf_VrtQ/view?usp=drivesdk","A Hat In Time (1).pdf")</f>
        <v>A Hat In Time (1).pdf</v>
      </c>
      <c r="B3106" s="12" t="str">
        <f t="shared" si="261"/>
        <v>Reddit Jumpchain Drive/Completed/Named Folders of Reddit/Previous version of Reddit Jumps</v>
      </c>
    </row>
    <row r="3107">
      <c r="A3107" s="12" t="str">
        <f>HYPERLINK("https://drive.google.com/file/d/1Z6Q1ZtmuhA4eqSPyRfT4zYWLaivKxjFO/view?usp=drivesdk","Tenchi Muyo! War on Geminar (Isekai no Seikishi Monogatari) - Jumpchain CYOA (1).pdf")</f>
        <v>Tenchi Muyo! War on Geminar (Isekai no Seikishi Monogatari) - Jumpchain CYOA (1).pdf</v>
      </c>
      <c r="B3107" s="12" t="str">
        <f t="shared" si="261"/>
        <v>Reddit Jumpchain Drive/Completed/Named Folders of Reddit/Previous version of Reddit Jumps</v>
      </c>
    </row>
    <row r="3108">
      <c r="A3108" s="12" t="str">
        <f>HYPERLINK("https://drive.google.com/file/d/1VN5GT6jrFLl2otZugRi3URwckIoX9uNp/view?usp=drivesdk","A Hat In Time WIP.pdf")</f>
        <v>A Hat In Time WIP.pdf</v>
      </c>
      <c r="B3108" s="12" t="str">
        <f t="shared" si="261"/>
        <v>Reddit Jumpchain Drive/Completed/Named Folders of Reddit/Previous version of Reddit Jumps</v>
      </c>
    </row>
    <row r="3109">
      <c r="A3109" s="12" t="str">
        <f>HYPERLINK("https://drive.google.com/file/d/1mZgvvcmj-r80VQOcNqTm5JP2HZGXmR_U/view?usp=drivesdk","Lobotomy Corporation Jumpchain.pdf")</f>
        <v>Lobotomy Corporation Jumpchain.pdf</v>
      </c>
      <c r="B3109" s="12" t="str">
        <f t="shared" si="261"/>
        <v>Reddit Jumpchain Drive/Completed/Named Folders of Reddit/Previous version of Reddit Jumps</v>
      </c>
    </row>
    <row r="3110">
      <c r="A3110" s="12" t="str">
        <f>HYPERLINK("https://drive.google.com/file/d/160E0CisQv7I18XC83bgs0Jc9_41SJmud/view?usp=drivesdk","The Lion King Jumpchain V1.1.pdf")</f>
        <v>The Lion King Jumpchain V1.1.pdf</v>
      </c>
      <c r="B3110" s="12" t="str">
        <f t="shared" si="261"/>
        <v>Reddit Jumpchain Drive/Completed/Named Folders of Reddit/Previous version of Reddit Jumps</v>
      </c>
    </row>
    <row r="3111">
      <c r="A3111" s="12" t="str">
        <f>HYPERLINK("https://drive.google.com/file/d/1t_szJ8Cd0T-b4z4ppbf2CDo_RDdcrDDp/view?usp=drivesdk","The Wicked + The Divine Jumpchain.pdf")</f>
        <v>The Wicked + The Divine Jumpchain.pdf</v>
      </c>
      <c r="B3111" s="12" t="str">
        <f t="shared" si="261"/>
        <v>Reddit Jumpchain Drive/Completed/Named Folders of Reddit/Previous version of Reddit Jumps</v>
      </c>
    </row>
    <row r="3112">
      <c r="A3112" s="12" t="str">
        <f>HYPERLINK("https://drive.google.com/file/d/1F0m5k5fwkvSqHJBugjNW_l7x3oXpzKS4/view?usp=drivesdk","The Secret World - Legends [Jumpchain].pdf")</f>
        <v>The Secret World - Legends [Jumpchain].pdf</v>
      </c>
      <c r="B3112" s="12" t="str">
        <f t="shared" si="261"/>
        <v>Reddit Jumpchain Drive/Completed/Named Folders of Reddit/Previous version of Reddit Jumps</v>
      </c>
    </row>
    <row r="3113">
      <c r="A3113" s="12" t="str">
        <f>HYPERLINK("https://drive.google.com/file/d/1qwKAZZSBoakY-Ov4mhRibrNfSrc0YhIA/view?usp=drivesdk","The Parasolverse Jumpchain.pdf")</f>
        <v>The Parasolverse Jumpchain.pdf</v>
      </c>
      <c r="B3113" s="12" t="str">
        <f t="shared" si="261"/>
        <v>Reddit Jumpchain Drive/Completed/Named Folders of Reddit/Previous version of Reddit Jumps</v>
      </c>
    </row>
    <row r="3114">
      <c r="A3114" s="12" t="str">
        <f>HYPERLINK("https://drive.google.com/file/d/122ksCcR3QEWjJeDtCzEnDkfkOzc4Kn82/view?usp=drivesdk","the night land.pdf")</f>
        <v>the night land.pdf</v>
      </c>
      <c r="B3114" s="12" t="str">
        <f t="shared" si="261"/>
        <v>Reddit Jumpchain Drive/Completed/Named Folders of Reddit/Previous version of Reddit Jumps</v>
      </c>
    </row>
    <row r="3115">
      <c r="A3115" s="12" t="str">
        <f>HYPERLINK("https://drive.google.com/file/d/1FvtK3YtTZSENcNdjsEhTCSRyIxPN5-vk/view?usp=drivesdk","LISA (2).pdf")</f>
        <v>LISA (2).pdf</v>
      </c>
      <c r="B3115" s="12" t="str">
        <f t="shared" si="261"/>
        <v>Reddit Jumpchain Drive/Completed/Named Folders of Reddit/Previous version of Reddit Jumps</v>
      </c>
    </row>
    <row r="3116">
      <c r="A3116" s="12" t="str">
        <f>HYPERLINK("https://drive.google.com/file/d/1Avo7oh78KtlvZ3Lu2gypvhLRpVklVn_O/view?usp=drivesdk","Inukami Remake.pdf")</f>
        <v>Inukami Remake.pdf</v>
      </c>
      <c r="B3116" s="12" t="str">
        <f t="shared" si="261"/>
        <v>Reddit Jumpchain Drive/Completed/Named Folders of Reddit/Previous version of Reddit Jumps</v>
      </c>
    </row>
    <row r="3117">
      <c r="A3117" s="12" t="str">
        <f>HYPERLINK("https://drive.google.com/file/d/1ZQOu1qhIHFVpmJ7f9_qkzqnvPgy6MnUO/view?usp=drivesdk","Germanic_Norse Mythology Jump.pdf")</f>
        <v>Germanic_Norse Mythology Jump.pdf</v>
      </c>
      <c r="B3117" s="12" t="str">
        <f t="shared" si="261"/>
        <v>Reddit Jumpchain Drive/Completed/Named Folders of Reddit/Previous version of Reddit Jumps</v>
      </c>
    </row>
    <row r="3118">
      <c r="A3118" s="12" t="str">
        <f>HYPERLINK("https://drive.google.com/file/d/1BT8PCk1iVx4-Fy3q7ft6A-cIlXT8RBb4/view?usp=drivesdk","Generic_TES_Fanfiction_Jumpchain.pdf")</f>
        <v>Generic_TES_Fanfiction_Jumpchain.pdf</v>
      </c>
      <c r="B3118" s="12" t="str">
        <f t="shared" si="261"/>
        <v>Reddit Jumpchain Drive/Completed/Named Folders of Reddit/Previous version of Reddit Jumps</v>
      </c>
    </row>
    <row r="3119">
      <c r="A3119" s="12" t="str">
        <f>HYPERLINK("https://drive.google.com/file/d/1Nr7CPmqlGGoDKi8uuCfy_uC5W99vEjWS/view?usp=drivesdk","Generic High School")</f>
        <v>Generic High School</v>
      </c>
      <c r="B3119" s="12" t="str">
        <f t="shared" si="261"/>
        <v>Reddit Jumpchain Drive/Completed/Named Folders of Reddit/Previous version of Reddit Jumps</v>
      </c>
    </row>
    <row r="3120">
      <c r="A3120" s="12" t="str">
        <f>HYPERLINK("https://drive.google.com/file/d/1qsagA2BoeNuVgBXSdOdF2CAOiPgBF1oq/view?usp=drivesdk","Generic Buffy Fanfiction")</f>
        <v>Generic Buffy Fanfiction</v>
      </c>
      <c r="B3120" s="12" t="str">
        <f t="shared" si="261"/>
        <v>Reddit Jumpchain Drive/Completed/Named Folders of Reddit/Previous version of Reddit Jumps</v>
      </c>
    </row>
    <row r="3121">
      <c r="A3121" s="12" t="str">
        <f>HYPERLINK("https://drive.google.com/file/d/1g4aYBge92qjUg4cYmJrWiwhFi0jjMIHq/view?usp=drivesdk","Fable of the Dragon Tyrant.pdf")</f>
        <v>Fable of the Dragon Tyrant.pdf</v>
      </c>
      <c r="B3121" s="12" t="str">
        <f t="shared" si="261"/>
        <v>Reddit Jumpchain Drive/Completed/Named Folders of Reddit/Previous version of Reddit Jumps</v>
      </c>
    </row>
    <row r="3122">
      <c r="A3122" s="12" t="str">
        <f>HYPERLINK("https://drive.google.com/file/d/1eY0c-EOpoDPcH52TZFsKk1wiYojuxlGq/view?usp=drivesdk","DUSK Gauntlet")</f>
        <v>DUSK Gauntlet</v>
      </c>
      <c r="B3122" s="12" t="str">
        <f t="shared" si="261"/>
        <v>Reddit Jumpchain Drive/Completed/Named Folders of Reddit/Previous version of Reddit Jumps</v>
      </c>
    </row>
    <row r="3123">
      <c r="A3123" s="12" t="str">
        <f>HYPERLINK("https://drive.google.com/file/d/1vGBuuP2tbDjhNVqNQia8P2wMLiAJQg-v/view?usp=drivesdk","Katana ZERO JD (2).pdf")</f>
        <v>Katana ZERO JD (2).pdf</v>
      </c>
      <c r="B3123" s="12" t="str">
        <f t="shared" si="261"/>
        <v>Reddit Jumpchain Drive/Completed/Named Folders of Reddit/Previous version of Reddit Jumps</v>
      </c>
    </row>
    <row r="3124">
      <c r="A3124" s="12" t="str">
        <f>HYPERLINK("https://drive.google.com/file/d/1Ym7ZTBdrWnA7G3MQ4goFi52qUW3GwLA9/view?usp=drivesdk","Katana ZERO JD (1).pdf")</f>
        <v>Katana ZERO JD (1).pdf</v>
      </c>
      <c r="B3124" s="12" t="str">
        <f t="shared" si="261"/>
        <v>Reddit Jumpchain Drive/Completed/Named Folders of Reddit/Previous version of Reddit Jumps</v>
      </c>
    </row>
    <row r="3125">
      <c r="A3125" s="12" t="str">
        <f>HYPERLINK("https://drive.google.com/file/d/1oVw3FW-437vAyQJ17sRPAGIz6Jg8Mder/view?usp=drivesdk","Kyoukai no Kanata Jumpchain.pdf")</f>
        <v>Kyoukai no Kanata Jumpchain.pdf</v>
      </c>
      <c r="B3125" s="12" t="str">
        <f t="shared" si="261"/>
        <v>Reddit Jumpchain Drive/Completed/Named Folders of Reddit/Previous version of Reddit Jumps</v>
      </c>
    </row>
    <row r="3126">
      <c r="A3126" s="12" t="str">
        <f>HYPERLINK("https://drive.google.com/file/d/1JP6jJrQvEid3j6GzqbGKvP1XZki3Kd1i/view?usp=drivesdk","Gridman the Hyper Agent.pdf")</f>
        <v>Gridman the Hyper Agent.pdf</v>
      </c>
      <c r="B3126" s="12" t="str">
        <f t="shared" si="261"/>
        <v>Reddit Jumpchain Drive/Completed/Named Folders of Reddit/Previous version of Reddit Jumps</v>
      </c>
    </row>
    <row r="3127">
      <c r="A3127" s="12" t="str">
        <f>HYPERLINK("https://drive.google.com/file/d/1aqz9RMx8uryAUjC6ysH1fmRNppzAushi/view?usp=drivesdk","Helltaker Jumpchain v1.1.1.pdf")</f>
        <v>Helltaker Jumpchain v1.1.1.pdf</v>
      </c>
      <c r="B3127" s="12" t="str">
        <f t="shared" si="261"/>
        <v>Reddit Jumpchain Drive/Completed/Named Folders of Reddit/Previous version of Reddit Jumps</v>
      </c>
    </row>
    <row r="3128">
      <c r="A3128" s="12" t="str">
        <f>HYPERLINK("https://drive.google.com/file/d/1VJENRzPiUplXcWJ6PjJmz3lo1hOc5xnO/view?usp=drivesdk","Pokemon Adventures Jump Gen 2 v1.2.pdf")</f>
        <v>Pokemon Adventures Jump Gen 2 v1.2.pdf</v>
      </c>
      <c r="B3128" s="12" t="str">
        <f t="shared" si="261"/>
        <v>Reddit Jumpchain Drive/Completed/Named Folders of Reddit/Previous version of Reddit Jumps</v>
      </c>
    </row>
    <row r="3129">
      <c r="A3129" s="12" t="str">
        <f>HYPERLINK("https://drive.google.com/file/d/1QzIGh0wG3NYaTK5gKQ4Ls-31XTXa5rBh/view?usp=drivesdk","Hunt_ Showdown (Gauntlet) (1).pdf")</f>
        <v>Hunt_ Showdown (Gauntlet) (1).pdf</v>
      </c>
      <c r="B3129" s="12" t="str">
        <f t="shared" si="261"/>
        <v>Reddit Jumpchain Drive/Completed/Named Folders of Reddit/Previous version of Reddit Jumps</v>
      </c>
    </row>
    <row r="3130">
      <c r="A3130" s="12" t="str">
        <f>HYPERLINK("https://drive.google.com/file/d/125Mk1p1nl0btpVRgsp5cWXILUE_MKxlZ/view?usp=drivesdk","Grrl Power- Jumpchain.pdf")</f>
        <v>Grrl Power- Jumpchain.pdf</v>
      </c>
      <c r="B3130" s="12" t="str">
        <f t="shared" si="261"/>
        <v>Reddit Jumpchain Drive/Completed/Named Folders of Reddit/Previous version of Reddit Jumps</v>
      </c>
    </row>
    <row r="3131">
      <c r="A3131" s="12" t="str">
        <f>HYPERLINK("https://drive.google.com/file/d/19t3bMh2zYacKuPaIcIcOjh6Xl8r_C0Lr/view?usp=drivesdk","Generic Urban Fantasy.pdf")</f>
        <v>Generic Urban Fantasy.pdf</v>
      </c>
      <c r="B3131" s="12" t="str">
        <f t="shared" si="261"/>
        <v>Reddit Jumpchain Drive/Completed/Named Folders of Reddit/Previous version of Reddit Jumps</v>
      </c>
    </row>
    <row r="3132">
      <c r="A3132" s="12" t="str">
        <f>HYPERLINK("https://drive.google.com/file/d/19cjihMPATBA4n9j4vLLGzCNQLvaZj9uK/view?usp=drivesdk","SUPERHOT.pdf")</f>
        <v>SUPERHOT.pdf</v>
      </c>
      <c r="B3132" s="12" t="str">
        <f t="shared" si="261"/>
        <v>Reddit Jumpchain Drive/Completed/Named Folders of Reddit/Previous version of Reddit Jumps</v>
      </c>
    </row>
    <row r="3133">
      <c r="A3133" s="12" t="str">
        <f>HYPERLINK("https://drive.google.com/file/d/1AlpD-le3NSF1EDgY8D7ZKB0woGWHYaX3/view?usp=drivesdk","The Force Unleashed Black Edition.pdf")</f>
        <v>The Force Unleashed Black Edition.pdf</v>
      </c>
      <c r="B3133" s="12" t="str">
        <f t="shared" ref="B3133:B3138" si="262">HYPERLINK("https://drive.google.com/drive/folders/1GUSUz3dfGCeae1b9JFkiCLfQ0iXxwt8i","Reddit Jumpchain Drive/Completed/Named Folders of Reddit/Star Wars")</f>
        <v>Reddit Jumpchain Drive/Completed/Named Folders of Reddit/Star Wars</v>
      </c>
    </row>
    <row r="3134">
      <c r="A3134" s="12" t="str">
        <f>HYPERLINK("https://drive.google.com/file/d/1IYAqEmNs0_pMRZD1rcBDR2RlcQKYv6m3/view?usp=drivesdk","The Force Unleashed Jumpchain.pdf")</f>
        <v>The Force Unleashed Jumpchain.pdf</v>
      </c>
      <c r="B3134" s="12" t="str">
        <f t="shared" si="262"/>
        <v>Reddit Jumpchain Drive/Completed/Named Folders of Reddit/Star Wars</v>
      </c>
    </row>
    <row r="3135">
      <c r="A3135" s="12" t="str">
        <f>HYPERLINK("https://drive.google.com/file/d/1dELqkMwc8zKa9rmdKh7jWFoW277Y7Ngy/view?usp=drivesdk","Generic Star Wars Fanfiction Jump.pdf")</f>
        <v>Generic Star Wars Fanfiction Jump.pdf</v>
      </c>
      <c r="B3135" s="12" t="str">
        <f t="shared" si="262"/>
        <v>Reddit Jumpchain Drive/Completed/Named Folders of Reddit/Star Wars</v>
      </c>
    </row>
    <row r="3136">
      <c r="A3136" s="12" t="str">
        <f>HYPERLINK("https://drive.google.com/file/d/1Oa4ttfGNQD5N8l4qLy1_GPQH8vSp4sS1/view?usp=drivesdk","Star Wars The Phantom Menace Jump V1.1 - The Reddit Edition.pdf")</f>
        <v>Star Wars The Phantom Menace Jump V1.1 - The Reddit Edition.pdf</v>
      </c>
      <c r="B3136" s="12" t="str">
        <f t="shared" si="262"/>
        <v>Reddit Jumpchain Drive/Completed/Named Folders of Reddit/Star Wars</v>
      </c>
    </row>
    <row r="3137">
      <c r="A3137" s="12" t="str">
        <f>HYPERLINK("https://drive.google.com/file/d/1H9u-zjuOzSBEbRXFGd7mnGJaNXZ_YQ0z/view?usp=drivesdk","Star Wars Attack Of The Clones The Reddit Edition V1.0.pdf")</f>
        <v>Star Wars Attack Of The Clones The Reddit Edition V1.0.pdf</v>
      </c>
      <c r="B3137" s="12" t="str">
        <f t="shared" si="262"/>
        <v>Reddit Jumpchain Drive/Completed/Named Folders of Reddit/Star Wars</v>
      </c>
    </row>
    <row r="3138">
      <c r="A3138" s="12" t="str">
        <f>HYPERLINK("https://drive.google.com/file/d/1a_QVagA8P8qc6GUfGeGpXDgLNLFmiktA/view?usp=drivesdk","Star Wars Revenge Of The Sith The Reddit Edition V1.0.pdf")</f>
        <v>Star Wars Revenge Of The Sith The Reddit Edition V1.0.pdf</v>
      </c>
      <c r="B3138" s="12" t="str">
        <f t="shared" si="262"/>
        <v>Reddit Jumpchain Drive/Completed/Named Folders of Reddit/Star Wars</v>
      </c>
    </row>
    <row r="3139">
      <c r="A3139" s="12" t="str">
        <f>HYPERLINK("https://drive.google.com/file/d/1t27_YKruwewFyIg8rw3D2Iu2njXcpGwQ/view?usp=drivesdk","Sword Art Online: Underworld Jumpchain v1.2.pdf")</f>
        <v>Sword Art Online: Underworld Jumpchain v1.2.pdf</v>
      </c>
      <c r="B3139" s="12" t="str">
        <f t="shared" ref="B3139:B3141" si="263">HYPERLINK("https://drive.google.com/drive/folders/1Ev3eKHyQIjp4UJRjrDHdDHeikGClexTD","Reddit Jumpchain Drive/Completed/Named Folders of Reddit/SAO")</f>
        <v>Reddit Jumpchain Drive/Completed/Named Folders of Reddit/SAO</v>
      </c>
    </row>
    <row r="3140">
      <c r="A3140" s="12" t="str">
        <f>HYPERLINK("https://drive.google.com/file/d/15nvyPyZ4jDqJXVnKJfNWVT0UHVOKpkWc/view?usp=drivesdk","Sword Art Online_ Underworld Jumpchain v1.2.pdf")</f>
        <v>Sword Art Online_ Underworld Jumpchain v1.2.pdf</v>
      </c>
      <c r="B3140" s="12" t="str">
        <f t="shared" si="263"/>
        <v>Reddit Jumpchain Drive/Completed/Named Folders of Reddit/SAO</v>
      </c>
    </row>
    <row r="3141">
      <c r="A3141" s="12" t="str">
        <f>HYPERLINK("https://drive.google.com/file/d/1uawwPbzQ9rLUceRLHy2JvTdWM3QUAs8_/view?usp=drivesdk","Sword Art Online_ Underworld Jumpchain v1.1.pdf")</f>
        <v>Sword Art Online_ Underworld Jumpchain v1.1.pdf</v>
      </c>
      <c r="B3141" s="12" t="str">
        <f t="shared" si="263"/>
        <v>Reddit Jumpchain Drive/Completed/Named Folders of Reddit/SAO</v>
      </c>
    </row>
    <row r="3142">
      <c r="A3142" s="12" t="str">
        <f>HYPERLINK("https://drive.google.com/file/d/1ciXfVltz-NBvqn08DquG94f0ZcG0ET87/view?usp=drivesdk","Dragon Quest III 1.2.pdf")</f>
        <v>Dragon Quest III 1.2.pdf</v>
      </c>
      <c r="B3142" s="12" t="str">
        <f t="shared" ref="B3142:B3147" si="264">HYPERLINK("https://drive.google.com/drive/folders/1_B-D0qKPWES4kjuRq0nRoUjrOBEmqrUz","Reddit Jumpchain Drive/Completed/Named Folders of Reddit/Dragon Quest Series")</f>
        <v>Reddit Jumpchain Drive/Completed/Named Folders of Reddit/Dragon Quest Series</v>
      </c>
    </row>
    <row r="3143">
      <c r="A3143" s="12" t="str">
        <f>HYPERLINK("https://drive.google.com/file/d/17PRuYhJJz_0fmhiRYXJEyWaSgHnHfKo-/view?usp=drivesdk","Dragon Quest 1-2 Jumpdoc v1.0.pdf")</f>
        <v>Dragon Quest 1-2 Jumpdoc v1.0.pdf</v>
      </c>
      <c r="B3143" s="12" t="str">
        <f t="shared" si="264"/>
        <v>Reddit Jumpchain Drive/Completed/Named Folders of Reddit/Dragon Quest Series</v>
      </c>
    </row>
    <row r="3144">
      <c r="A3144" s="12" t="str">
        <f>HYPERLINK("https://drive.google.com/file/d/1sbwuIf5WGb6jq9-u5TUEXqtpmtjJfoOh/view?usp=drivesdk","Dragon Quest V Jumpchain cyoa.docx.pdf")</f>
        <v>Dragon Quest V Jumpchain cyoa.docx.pdf</v>
      </c>
      <c r="B3144" s="12" t="str">
        <f t="shared" si="264"/>
        <v>Reddit Jumpchain Drive/Completed/Named Folders of Reddit/Dragon Quest Series</v>
      </c>
    </row>
    <row r="3145">
      <c r="A3145" s="12" t="str">
        <f>HYPERLINK("https://drive.google.com/file/d/1sjGe-IHiuJ_c_ambljRIVk8-RVyl0OwB/view?usp=drivesdk","DQXI Jumpchain.pdf")</f>
        <v>DQXI Jumpchain.pdf</v>
      </c>
      <c r="B3145" s="12" t="str">
        <f t="shared" si="264"/>
        <v>Reddit Jumpchain Drive/Completed/Named Folders of Reddit/Dragon Quest Series</v>
      </c>
    </row>
    <row r="3146">
      <c r="A3146" s="12" t="str">
        <f>HYPERLINK("https://drive.google.com/file/d/1Yzqhg5yUwxOddnCbjlSxSccRnBQsy0db/view?usp=drivesdk","Dragon Quest Builders Jumpchain.pdf")</f>
        <v>Dragon Quest Builders Jumpchain.pdf</v>
      </c>
      <c r="B3146" s="12" t="str">
        <f t="shared" si="264"/>
        <v>Reddit Jumpchain Drive/Completed/Named Folders of Reddit/Dragon Quest Series</v>
      </c>
    </row>
    <row r="3147">
      <c r="A3147" s="12" t="str">
        <f>HYPERLINK("https://drive.google.com/file/d/1tm75vdUxl5lOFe7EImyOggOd9ML_wgu0/view?usp=drivesdk","Dragon Quest Builders 2 Jumpchain.pdf")</f>
        <v>Dragon Quest Builders 2 Jumpchain.pdf</v>
      </c>
      <c r="B3147" s="12" t="str">
        <f t="shared" si="264"/>
        <v>Reddit Jumpchain Drive/Completed/Named Folders of Reddit/Dragon Quest Series</v>
      </c>
    </row>
    <row r="3148">
      <c r="A3148" s="12" t="str">
        <f>HYPERLINK("https://drive.google.com/file/d/1b5pusPt2oE8YAITW8d_KF8C3UZ4CDW5f/view?usp=drivesdk","Adventure Quest Worlds Jumpchain.pdf")</f>
        <v>Adventure Quest Worlds Jumpchain.pdf</v>
      </c>
      <c r="B3148" s="12" t="str">
        <f t="shared" ref="B3148:B3149" si="265">HYPERLINK("https://drive.google.com/drive/folders/1bO88-yfBZE078IMXfFaqcjbx4MzeyQX7","Reddit Jumpchain Drive/Completed/Named Folders of Reddit/Artix Entertainment")</f>
        <v>Reddit Jumpchain Drive/Completed/Named Folders of Reddit/Artix Entertainment</v>
      </c>
    </row>
    <row r="3149">
      <c r="A3149" s="12" t="str">
        <f>HYPERLINK("https://drive.google.com/file/d/12ay7GKfOAH6RDiLFr5SH47Hi6g6h-URv/view?usp=drivesdk","Dragon Fable.pdf")</f>
        <v>Dragon Fable.pdf</v>
      </c>
      <c r="B3149" s="12" t="str">
        <f t="shared" si="265"/>
        <v>Reddit Jumpchain Drive/Completed/Named Folders of Reddit/Artix Entertainment</v>
      </c>
    </row>
    <row r="3150">
      <c r="A3150" s="12" t="str">
        <f>HYPERLINK("https://drive.google.com/file/d/1jtaKTLZ8s2G58OJtMrhogPdcGId1IC2H/view?usp=drivesdk","Hollow Knight Jumpchain_ Voidheart Edition V1.1.pdf")</f>
        <v>Hollow Knight Jumpchain_ Voidheart Edition V1.1.pdf</v>
      </c>
      <c r="B3150" s="12" t="str">
        <f t="shared" ref="B3150:B3151" si="266">HYPERLINK("https://drive.google.com/drive/folders/1T6CNw2lcUUkkXVDu0_S81ZXzIkmBlAwV","Reddit Jumpchain Drive/Completed/Named Folders of Reddit/Hollow Knight Collection")</f>
        <v>Reddit Jumpchain Drive/Completed/Named Folders of Reddit/Hollow Knight Collection</v>
      </c>
    </row>
    <row r="3151">
      <c r="A3151" s="12" t="str">
        <f>HYPERLINK("https://drive.google.com/file/d/1dPNVfGLrZ30ZkWBNpFvofju714G2ecrK/view?usp=drivesdk","Hollow Knight Jumpchain_ Voidheart Edition")</f>
        <v>Hollow Knight Jumpchain_ Voidheart Edition</v>
      </c>
      <c r="B3151" s="12" t="str">
        <f t="shared" si="266"/>
        <v>Reddit Jumpchain Drive/Completed/Named Folders of Reddit/Hollow Knight Collection</v>
      </c>
    </row>
    <row r="3152">
      <c r="A3152" s="12" t="str">
        <f>HYPERLINK("https://drive.google.com/file/d/1jmXP_JbZRWxA3s40lq4SESpGxngB6-Gr/view?usp=drivesdk","Bionicle Jumpchain 1.1")</f>
        <v>Bionicle Jumpchain 1.1</v>
      </c>
      <c r="B3152" s="12" t="str">
        <f t="shared" ref="B3152:B3153" si="267">HYPERLINK("https://drive.google.com/drive/folders/1dkvyk6ReEp_F_0mGDZ_BV8dt3zSpiW-0","Reddit Jumpchain Drive/Completed/Named Folders of Reddit/Bionicle")</f>
        <v>Reddit Jumpchain Drive/Completed/Named Folders of Reddit/Bionicle</v>
      </c>
    </row>
    <row r="3153">
      <c r="A3153" s="12" t="str">
        <f>HYPERLINK("https://drive.google.com/file/d/1sA2iQWAX2MxVTyC2se6y1dMab1LlDRyZ/view?usp=drivesdk","Bionicle Bara Magna Jumpchain.pdf")</f>
        <v>Bionicle Bara Magna Jumpchain.pdf</v>
      </c>
      <c r="B3153" s="12" t="str">
        <f t="shared" si="267"/>
        <v>Reddit Jumpchain Drive/Completed/Named Folders of Reddit/Bionicle</v>
      </c>
    </row>
    <row r="3154">
      <c r="A3154" s="12" t="str">
        <f>HYPERLINK("https://drive.google.com/file/d/1P6zN_4QuYEr5LXUGq1p4j6YUrrwuQA-_/view?usp=drivesdk","6 - aUsC6bG.png")</f>
        <v>6 - aUsC6bG.png</v>
      </c>
      <c r="B3154" s="12" t="str">
        <f t="shared" ref="B3154:B3164" si="268">HYPERLINK("https://drive.google.com/drive/folders/179h8xn6qqpFzXTwibiYHivTE9zVm8y3J","Reddit Jumpchain Drive/Completed/Named Folders of Reddit/Crash Team Racing Jumpchain Image version")</f>
        <v>Reddit Jumpchain Drive/Completed/Named Folders of Reddit/Crash Team Racing Jumpchain Image version</v>
      </c>
    </row>
    <row r="3155">
      <c r="A3155" s="12" t="str">
        <f>HYPERLINK("https://drive.google.com/file/d/1SgCm_lAbNK-aFCunDUjin0c9BJhy4SQ1/view?usp=drivesdk","2 - RTsqkIU.png")</f>
        <v>2 - RTsqkIU.png</v>
      </c>
      <c r="B3155" s="12" t="str">
        <f t="shared" si="268"/>
        <v>Reddit Jumpchain Drive/Completed/Named Folders of Reddit/Crash Team Racing Jumpchain Image version</v>
      </c>
    </row>
    <row r="3156">
      <c r="A3156" s="12" t="str">
        <f>HYPERLINK("https://drive.google.com/file/d/1_2lFpTlbhwNu8-OGJEYYN7DkPW6_iEAX/view?usp=drivesdk","10 - sq6NNY3.png")</f>
        <v>10 - sq6NNY3.png</v>
      </c>
      <c r="B3156" s="12" t="str">
        <f t="shared" si="268"/>
        <v>Reddit Jumpchain Drive/Completed/Named Folders of Reddit/Crash Team Racing Jumpchain Image version</v>
      </c>
    </row>
    <row r="3157">
      <c r="A3157" s="12" t="str">
        <f>HYPERLINK("https://drive.google.com/file/d/1_daedd3erZoNhacuFuWwaUvhFStHyX-T/view?usp=drivesdk","5 - 51oNYg4.png")</f>
        <v>5 - 51oNYg4.png</v>
      </c>
      <c r="B3157" s="12" t="str">
        <f t="shared" si="268"/>
        <v>Reddit Jumpchain Drive/Completed/Named Folders of Reddit/Crash Team Racing Jumpchain Image version</v>
      </c>
    </row>
    <row r="3158">
      <c r="A3158" s="12" t="str">
        <f>HYPERLINK("https://drive.google.com/file/d/1aHQYSpu9yqyHti3z5TJTL0nc_vYO7_fj/view?usp=drivesdk","1 - 1rJH9uF.png")</f>
        <v>1 - 1rJH9uF.png</v>
      </c>
      <c r="B3158" s="12" t="str">
        <f t="shared" si="268"/>
        <v>Reddit Jumpchain Drive/Completed/Named Folders of Reddit/Crash Team Racing Jumpchain Image version</v>
      </c>
    </row>
    <row r="3159">
      <c r="A3159" s="12" t="str">
        <f>HYPERLINK("https://drive.google.com/file/d/1c8bi4QsjgFykSacRdDi-khMjVLPQ9K0o/view?usp=drivesdk","3 - rnvjPKY.png")</f>
        <v>3 - rnvjPKY.png</v>
      </c>
      <c r="B3159" s="12" t="str">
        <f t="shared" si="268"/>
        <v>Reddit Jumpchain Drive/Completed/Named Folders of Reddit/Crash Team Racing Jumpchain Image version</v>
      </c>
    </row>
    <row r="3160">
      <c r="A3160" s="12" t="str">
        <f>HYPERLINK("https://drive.google.com/file/d/1dxoRB_ytEDaZprykWdpNzChB2T3cKlTB/view?usp=drivesdk","8 - RCXDF1I.png")</f>
        <v>8 - RCXDF1I.png</v>
      </c>
      <c r="B3160" s="12" t="str">
        <f t="shared" si="268"/>
        <v>Reddit Jumpchain Drive/Completed/Named Folders of Reddit/Crash Team Racing Jumpchain Image version</v>
      </c>
    </row>
    <row r="3161">
      <c r="A3161" s="12" t="str">
        <f>HYPERLINK("https://drive.google.com/file/d/1eUfiTpaGjJg6fhhSbc5DCYu3sc7h_2mC/view?usp=drivesdk","7 - 1Ytmgob.png")</f>
        <v>7 - 1Ytmgob.png</v>
      </c>
      <c r="B3161" s="12" t="str">
        <f t="shared" si="268"/>
        <v>Reddit Jumpchain Drive/Completed/Named Folders of Reddit/Crash Team Racing Jumpchain Image version</v>
      </c>
    </row>
    <row r="3162">
      <c r="A3162" s="12" t="str">
        <f>HYPERLINK("https://drive.google.com/file/d/1vZh_KHddAdhflzabWyKkeR-IK-jWax6e/view?usp=drivesdk","9 - jvnB4eZ.png")</f>
        <v>9 - jvnB4eZ.png</v>
      </c>
      <c r="B3162" s="12" t="str">
        <f t="shared" si="268"/>
        <v>Reddit Jumpchain Drive/Completed/Named Folders of Reddit/Crash Team Racing Jumpchain Image version</v>
      </c>
    </row>
    <row r="3163">
      <c r="A3163" s="12" t="str">
        <f>HYPERLINK("https://drive.google.com/file/d/1wJNFxzHv6Zk10X61Ecwz1wfn41ZqvOO7/view?usp=drivesdk","11 - DKpmtbe.png")</f>
        <v>11 - DKpmtbe.png</v>
      </c>
      <c r="B3163" s="12" t="str">
        <f t="shared" si="268"/>
        <v>Reddit Jumpchain Drive/Completed/Named Folders of Reddit/Crash Team Racing Jumpchain Image version</v>
      </c>
    </row>
    <row r="3164">
      <c r="A3164" s="12" t="str">
        <f>HYPERLINK("https://drive.google.com/file/d/1wNZDFpVgYj-X4mZz7i1RnDm8oSJQa8qr/view?usp=drivesdk","4 - 5uuc8Dx.png")</f>
        <v>4 - 5uuc8Dx.png</v>
      </c>
      <c r="B3164" s="12" t="str">
        <f t="shared" si="268"/>
        <v>Reddit Jumpchain Drive/Completed/Named Folders of Reddit/Crash Team Racing Jumpchain Image version</v>
      </c>
    </row>
    <row r="3165">
      <c r="A3165" s="12" t="str">
        <f>HYPERLINK("https://drive.google.com/file/d/12sI5e57yTZooZaS8PL2HJ8SaHzl5So-D/view?usp=drivesdk","A_N Verse (Joke) Jump Ver 1.0.docx.pdf")</f>
        <v>A_N Verse (Joke) Jump Ver 1.0.docx.pdf</v>
      </c>
      <c r="B3165" s="12" t="str">
        <f t="shared" ref="B3165:B3172" si="269">HYPERLINK("https://drive.google.com/drive/folders/1KRU_qAYC4w94DEHAfcJGiWsk99unbHi6","Reddit Jumpchain Drive/Completed/Joke")</f>
        <v>Reddit Jumpchain Drive/Completed/Joke</v>
      </c>
    </row>
    <row r="3166">
      <c r="A3166" s="12" t="str">
        <f>HYPERLINK("https://drive.google.com/file/d/1JUKOaO3_jI1kQ0embgRpMtESd1q7grJS/view?usp=drivesdk","Jumpchain Text Deleter.pdf")</f>
        <v>Jumpchain Text Deleter.pdf</v>
      </c>
      <c r="B3166" s="12" t="str">
        <f t="shared" si="269"/>
        <v>Reddit Jumpchain Drive/Completed/Joke</v>
      </c>
    </row>
    <row r="3167">
      <c r="A3167" s="12" t="str">
        <f>HYPERLINK("https://drive.google.com/file/d/1XYrMTibWa0gukr_10hhS1mk4wagx9L9r/view?usp=drivesdk","Jumpchain Creative Mode.pdf")</f>
        <v>Jumpchain Creative Mode.pdf</v>
      </c>
      <c r="B3167" s="12" t="str">
        <f t="shared" si="269"/>
        <v>Reddit Jumpchain Drive/Completed/Joke</v>
      </c>
    </row>
    <row r="3168">
      <c r="A3168" s="12" t="str">
        <f>HYPERLINK("https://drive.google.com/file/d/1xBePpOya6AbiLImjiEKHuZpQ84ECQSwQ/view?usp=drivesdk","Jumpchain - Heavy is Dead.pdf")</f>
        <v>Jumpchain - Heavy is Dead.pdf</v>
      </c>
      <c r="B3168" s="12" t="str">
        <f t="shared" si="269"/>
        <v>Reddit Jumpchain Drive/Completed/Joke</v>
      </c>
    </row>
    <row r="3169">
      <c r="A3169" s="12" t="str">
        <f>HYPERLINK("https://drive.google.com/file/d/1kqtoUp5Dq5XAJV7jikqz1LLLgYgB4dwM/view?usp=drivesdk","Asdfmovie gauntlet.pdf")</f>
        <v>Asdfmovie gauntlet.pdf</v>
      </c>
      <c r="B3169" s="12" t="str">
        <f t="shared" si="269"/>
        <v>Reddit Jumpchain Drive/Completed/Joke</v>
      </c>
    </row>
    <row r="3170">
      <c r="A3170" s="12" t="str">
        <f>HYPERLINK("https://drive.google.com/file/d/1mXN7PLJxRgX3o0qkPR6E9P3EVYwXZ_UY/view?usp=drivesdk","You Are The Jump-Chan Jump v0_9.pdf")</f>
        <v>You Are The Jump-Chan Jump v0_9.pdf</v>
      </c>
      <c r="B3170" s="12" t="str">
        <f t="shared" si="269"/>
        <v>Reddit Jumpchain Drive/Completed/Joke</v>
      </c>
    </row>
    <row r="3171">
      <c r="A3171" s="12" t="str">
        <f>HYPERLINK("https://drive.google.com/file/d/1Oat3iv9HfSjYeHc1IumJlWMlKq-E3RvS/view?usp=drivesdk","Steamed Hams Gauntlet (Joke).pdf")</f>
        <v>Steamed Hams Gauntlet (Joke).pdf</v>
      </c>
      <c r="B3171" s="12" t="str">
        <f t="shared" si="269"/>
        <v>Reddit Jumpchain Drive/Completed/Joke</v>
      </c>
    </row>
    <row r="3172">
      <c r="A3172" s="12" t="str">
        <f>HYPERLINK("https://drive.google.com/file/d/17ocgNm7qcrcwU6thaClbddFz8zTawrxI/view?usp=drivesdk","Generic Random Powers Jump - Imgur.png")</f>
        <v>Generic Random Powers Jump - Imgur.png</v>
      </c>
      <c r="B3172" s="12" t="str">
        <f t="shared" si="269"/>
        <v>Reddit Jumpchain Drive/Completed/Joke</v>
      </c>
    </row>
    <row r="3173">
      <c r="A3173" s="12" t="str">
        <f>HYPERLINK("https://drive.google.com/file/d/1eoTbIQeHWy9--cQm7wG1V6zHAcfQnSmH/view?usp=drivesdk","Generic LitRPG Jump.pdf")</f>
        <v>Generic LitRPG Jump.pdf</v>
      </c>
      <c r="B3173" s="12" t="str">
        <f t="shared" ref="B3173:B3227" si="270">HYPERLINK("https://drive.google.com/drive/folders/1sVc0yAi2_5EysV8c3beieU7t8Q29b40K","Reddit Jumpchain Drive/Completed/Generic")</f>
        <v>Reddit Jumpchain Drive/Completed/Generic</v>
      </c>
    </row>
    <row r="3174">
      <c r="A3174" s="12" t="str">
        <f>HYPERLINK("https://drive.google.com/file/d/15eK9sqD6PKwN-99FzU2RaLnmIy-MCt4q/view?usp=drivesdk","Generic Notebook Thief 1.0.pdf")</f>
        <v>Generic Notebook Thief 1.0.pdf</v>
      </c>
      <c r="B3174" s="12" t="str">
        <f t="shared" si="270"/>
        <v>Reddit Jumpchain Drive/Completed/Generic</v>
      </c>
    </row>
    <row r="3175">
      <c r="A3175" s="12" t="str">
        <f>HYPERLINK("https://drive.google.com/file/d/10B6_lXTw9DRmJhPLhqn_AfGZFB-8fmi-/view?usp=drivesdk","Generic Gamer Jump v1.0.pdf")</f>
        <v>Generic Gamer Jump v1.0.pdf</v>
      </c>
      <c r="B3175" s="12" t="str">
        <f t="shared" si="270"/>
        <v>Reddit Jumpchain Drive/Completed/Generic</v>
      </c>
    </row>
    <row r="3176">
      <c r="A3176" s="12" t="str">
        <f>HYPERLINK("https://drive.google.com/file/d/1brIEaICE7FoXJQi6VFNZ2_CeF7yCKtdi/view?usp=drivesdk","Generic Gamer Jump v1.2.pdf")</f>
        <v>Generic Gamer Jump v1.2.pdf</v>
      </c>
      <c r="B3176" s="12" t="str">
        <f t="shared" si="270"/>
        <v>Reddit Jumpchain Drive/Completed/Generic</v>
      </c>
    </row>
    <row r="3177">
      <c r="A3177" s="12" t="str">
        <f>HYPERLINK("https://drive.google.com/file/d/1TOPdznAf0__yX-qgS56wFNtDlftXb7Kb/view?usp=drivesdk","Generic Warhammer 40K_ Fanfic V3.pdf")</f>
        <v>Generic Warhammer 40K_ Fanfic V3.pdf</v>
      </c>
      <c r="B3177" s="12" t="str">
        <f t="shared" si="270"/>
        <v>Reddit Jumpchain Drive/Completed/Generic</v>
      </c>
    </row>
    <row r="3178">
      <c r="A3178" s="12" t="str">
        <f>HYPERLINK("https://drive.google.com/file/d/1eiNNwz1JcJ2Oo_pVVBUxEGomVTVCZuRx/view?usp=drivesdk","Generic My Hero Academia Fanfic V2.pdf")</f>
        <v>Generic My Hero Academia Fanfic V2.pdf</v>
      </c>
      <c r="B3178" s="12" t="str">
        <f t="shared" si="270"/>
        <v>Reddit Jumpchain Drive/Completed/Generic</v>
      </c>
    </row>
    <row r="3179">
      <c r="A3179" s="12" t="str">
        <f>HYPERLINK("https://drive.google.com/file/d/1m7V5pwArMEJxirUTmY0iPr8dw50tkVJt/view?usp=drivesdk","Generic Werewolf v3.0.pdf")</f>
        <v>Generic Werewolf v3.0.pdf</v>
      </c>
      <c r="B3179" s="12" t="str">
        <f t="shared" si="270"/>
        <v>Reddit Jumpchain Drive/Completed/Generic</v>
      </c>
    </row>
    <row r="3180">
      <c r="A3180" s="12" t="str">
        <f>HYPERLINK("https://drive.google.com/file/d/1OIXpXjhWA7S8LNSz_VN5II-cegjvHZpR/view?usp=drivesdk","Generic Magic Academy v3.pdf")</f>
        <v>Generic Magic Academy v3.pdf</v>
      </c>
      <c r="B3180" s="12" t="str">
        <f t="shared" si="270"/>
        <v>Reddit Jumpchain Drive/Completed/Generic</v>
      </c>
    </row>
    <row r="3181">
      <c r="A3181" s="12" t="str">
        <f>HYPERLINK("https://drive.google.com/file/d/1bUtV1dLlCYveI1wPHKJl5dO5kkHEVVLo/view?usp=drivesdk","Generic Dragon Ball Fanfic V1.2.pdf")</f>
        <v>Generic Dragon Ball Fanfic V1.2.pdf</v>
      </c>
      <c r="B3181" s="12" t="str">
        <f t="shared" si="270"/>
        <v>Reddit Jumpchain Drive/Completed/Generic</v>
      </c>
    </row>
    <row r="3182">
      <c r="A3182" s="12" t="str">
        <f>HYPERLINK("https://drive.google.com/file/d/16eTY5z_JzQGwsaFT-rlctwlUT0hJbXSq/view?usp=drivesdk","Generic Dungeon Core  Jump 1.9M (1).pdf")</f>
        <v>Generic Dungeon Core  Jump 1.9M (1).pdf</v>
      </c>
      <c r="B3182" s="12" t="str">
        <f t="shared" si="270"/>
        <v>Reddit Jumpchain Drive/Completed/Generic</v>
      </c>
    </row>
    <row r="3183">
      <c r="A3183" s="12" t="str">
        <f>HYPERLINK("https://drive.google.com/file/d/1LKnuav-I1OCZTYt9BNpKsGsIIY-n2b3S/view?usp=drivesdk","generic rouge earth survival-1.pdf")</f>
        <v>generic rouge earth survival-1.pdf</v>
      </c>
      <c r="B3183" s="12" t="str">
        <f t="shared" si="270"/>
        <v>Reddit Jumpchain Drive/Completed/Generic</v>
      </c>
    </row>
    <row r="3184">
      <c r="A3184" s="12" t="str">
        <f>HYPERLINK("https://drive.google.com/file/d/1aj4wXpRARlsetqrVulu3a80_HuYEVVaG/view?usp=drivesdk","Generic Bunker Jump (Up for adoption).pdf")</f>
        <v>Generic Bunker Jump (Up for adoption).pdf</v>
      </c>
      <c r="B3184" s="12" t="str">
        <f t="shared" si="270"/>
        <v>Reddit Jumpchain Drive/Completed/Generic</v>
      </c>
    </row>
    <row r="3185">
      <c r="A3185" s="12" t="str">
        <f>HYPERLINK("https://drive.google.com/file/d/1MWyH5c_29BLfCIBS8pGftuNH1y-rC0Gz/view?usp=drivesdk","Generic Setting v0.05 (Up for adoption).pdf")</f>
        <v>Generic Setting v0.05 (Up for adoption).pdf</v>
      </c>
      <c r="B3185" s="12" t="str">
        <f t="shared" si="270"/>
        <v>Reddit Jumpchain Drive/Completed/Generic</v>
      </c>
    </row>
    <row r="3186">
      <c r="A3186" s="12" t="str">
        <f>HYPERLINK("https://drive.google.com/file/d/1OSH9ycyHDRSPhoFocVMYRxb4nAQjR1OV/view?usp=drivesdk","Generic Highschool DxD v1.1.pdf")</f>
        <v>Generic Highschool DxD v1.1.pdf</v>
      </c>
      <c r="B3186" s="12" t="str">
        <f t="shared" si="270"/>
        <v>Reddit Jumpchain Drive/Completed/Generic</v>
      </c>
    </row>
    <row r="3187">
      <c r="A3187" s="12" t="str">
        <f>HYPERLINK("https://drive.google.com/file/d/1hfLFGMwLtA3wrC07d9_EZPrwqpQp-taY/view?usp=drivesdk","Generic Giant Robot Series.pdf")</f>
        <v>Generic Giant Robot Series.pdf</v>
      </c>
      <c r="B3187" s="12" t="str">
        <f t="shared" si="270"/>
        <v>Reddit Jumpchain Drive/Completed/Generic</v>
      </c>
    </row>
    <row r="3188">
      <c r="A3188" s="12" t="str">
        <f>HYPERLINK("https://drive.google.com/file/d/1KdyLIJtgehhajU0FZI1jwzq-j5L9BhrC/view?usp=drivesdk","Generic School Years Jump v1.2.pdf")</f>
        <v>Generic School Years Jump v1.2.pdf</v>
      </c>
      <c r="B3188" s="12" t="str">
        <f t="shared" si="270"/>
        <v>Reddit Jumpchain Drive/Completed/Generic</v>
      </c>
    </row>
    <row r="3189">
      <c r="A3189" s="12" t="str">
        <f>HYPERLINK("https://drive.google.com/file/d/1v4h0r-UlCYNW6fpVhOFe39i--o5CpO-p/view?usp=drivesdk","Generic Fire Emblem Jumpchain.pdf")</f>
        <v>Generic Fire Emblem Jumpchain.pdf</v>
      </c>
      <c r="B3189" s="12" t="str">
        <f t="shared" si="270"/>
        <v>Reddit Jumpchain Drive/Completed/Generic</v>
      </c>
    </row>
    <row r="3190">
      <c r="A3190" s="12" t="str">
        <f>HYPERLINK("https://drive.google.com/file/d/1BJ8BHTATiZ_e5mM6agxoQGPLviU4xXlH/view?usp=drivesdk","Generic Vampire JumpChain.pdf")</f>
        <v>Generic Vampire JumpChain.pdf</v>
      </c>
      <c r="B3190" s="12" t="str">
        <f t="shared" si="270"/>
        <v>Reddit Jumpchain Drive/Completed/Generic</v>
      </c>
    </row>
    <row r="3191">
      <c r="A3191" s="12" t="str">
        <f>HYPERLINK("https://drive.google.com/file/d/1BNeyeKckf-w4XDBdvvjbHyTTB-ppI5CY/view?usp=drivesdk","Generic Monster Tamer JumpChain.pdf")</f>
        <v>Generic Monster Tamer JumpChain.pdf</v>
      </c>
      <c r="B3191" s="12" t="str">
        <f t="shared" si="270"/>
        <v>Reddit Jumpchain Drive/Completed/Generic</v>
      </c>
    </row>
    <row r="3192">
      <c r="A3192" s="12" t="str">
        <f>HYPERLINK("https://drive.google.com/file/d/19SFrE8aswlMNtXIlgn8veSwWPApKifIG/view?usp=drivesdk","Generic Cuddly jump.pdf")</f>
        <v>Generic Cuddly jump.pdf</v>
      </c>
      <c r="B3192" s="12" t="str">
        <f t="shared" si="270"/>
        <v>Reddit Jumpchain Drive/Completed/Generic</v>
      </c>
    </row>
    <row r="3193">
      <c r="A3193" s="12" t="str">
        <f>HYPERLINK("https://drive.google.com/file/d/1eoN-s0xso39amkUjjTRCJXF2KZblKUFb/view?usp=drivesdk","Generic Pirate V1.0.pdf")</f>
        <v>Generic Pirate V1.0.pdf</v>
      </c>
      <c r="B3193" s="12" t="str">
        <f t="shared" si="270"/>
        <v>Reddit Jumpchain Drive/Completed/Generic</v>
      </c>
    </row>
    <row r="3194">
      <c r="A3194" s="12" t="str">
        <f>HYPERLINK("https://drive.google.com/file/d/1xIJe3lK7ahHIu6EW8_ugXqMTxD5Ih5zb/view?usp=drivesdk","Generic Endjump.pdf")</f>
        <v>Generic Endjump.pdf</v>
      </c>
      <c r="B3194" s="12" t="str">
        <f t="shared" si="270"/>
        <v>Reddit Jumpchain Drive/Completed/Generic</v>
      </c>
    </row>
    <row r="3195">
      <c r="A3195" s="12" t="str">
        <f>HYPERLINK("https://drive.google.com/file/d/1Dx34CPhO6qWEbYvwl7TuW5VyD4SNk2-m/view?usp=drivesdk","Generic Modern World.pdf")</f>
        <v>Generic Modern World.pdf</v>
      </c>
      <c r="B3195" s="12" t="str">
        <f t="shared" si="270"/>
        <v>Reddit Jumpchain Drive/Completed/Generic</v>
      </c>
    </row>
    <row r="3196">
      <c r="A3196" s="12" t="str">
        <f>HYPERLINK("https://drive.google.com/file/d/19-Rq9mOHHP_dBa1Yc10jHzu9fhgT6L6M/view?usp=drivesdk","Generic norithics jump Jumpable 0.51.pdf")</f>
        <v>Generic norithics jump Jumpable 0.51.pdf</v>
      </c>
      <c r="B3196" s="12" t="str">
        <f t="shared" si="270"/>
        <v>Reddit Jumpchain Drive/Completed/Generic</v>
      </c>
    </row>
    <row r="3197">
      <c r="A3197" s="12" t="str">
        <f>HYPERLINK("https://drive.google.com/file/d/18-mAPp-UFgpq5AknLR7UjUfDSpTsFnjO/view?usp=drivesdk","Generic Pokemon Mystery Dungeon AU Jumpchain v1.2.pdf")</f>
        <v>Generic Pokemon Mystery Dungeon AU Jumpchain v1.2.pdf</v>
      </c>
      <c r="B3197" s="12" t="str">
        <f t="shared" si="270"/>
        <v>Reddit Jumpchain Drive/Completed/Generic</v>
      </c>
    </row>
    <row r="3198">
      <c r="A3198" s="12" t="str">
        <f>HYPERLINK("https://drive.google.com/file/d/1zLMfOehHxBHTFQ04sLvy6lQqMoqJhzTc/view?usp=drivesdk","Generic RWBY v1.2 'Fixed the Changelog' Edition.pdf")</f>
        <v>Generic RWBY v1.2 'Fixed the Changelog' Edition.pdf</v>
      </c>
      <c r="B3198" s="12" t="str">
        <f t="shared" si="270"/>
        <v>Reddit Jumpchain Drive/Completed/Generic</v>
      </c>
    </row>
    <row r="3199">
      <c r="A3199" s="12" t="str">
        <f>HYPERLINK("https://drive.google.com/file/d/1NwX_5HpyHbodegntAJw9e8PfM-VSCjwM/view?usp=drivesdk","Generic otherworldly Korean invasion v1.11.pdf")</f>
        <v>Generic otherworldly Korean invasion v1.11.pdf</v>
      </c>
      <c r="B3199" s="12" t="str">
        <f t="shared" si="270"/>
        <v>Reddit Jumpchain Drive/Completed/Generic</v>
      </c>
    </row>
    <row r="3200">
      <c r="A3200" s="12" t="str">
        <f>HYPERLINK("https://drive.google.com/file/d/1fKnb2KIoeYcfE0AHJ4Izll67LbSE8KUj/view?usp=drivesdk","Generic webnovel fanfic.pdf")</f>
        <v>Generic webnovel fanfic.pdf</v>
      </c>
      <c r="B3200" s="12" t="str">
        <f t="shared" si="270"/>
        <v>Reddit Jumpchain Drive/Completed/Generic</v>
      </c>
    </row>
    <row r="3201">
      <c r="A3201" s="12" t="str">
        <f>HYPERLINK("https://drive.google.com/file/d/1QscTlBWAayY9-4dZPI4sUqxB3pUELaGb/view?usp=drivesdk","Generic Star Wars Fanfiction Jump.pdf")</f>
        <v>Generic Star Wars Fanfiction Jump.pdf</v>
      </c>
      <c r="B3201" s="12" t="str">
        <f t="shared" si="270"/>
        <v>Reddit Jumpchain Drive/Completed/Generic</v>
      </c>
    </row>
    <row r="3202">
      <c r="A3202" s="12" t="str">
        <f>HYPERLINK("https://drive.google.com/file/d/1rPROXqvo_xZNDjuiHcTWWU_2TMvEQ2Wu/view?usp=drivesdk","Generic_Dungeon_Builder-_You_can_Always_Build_Dungeons_v1.1.2.pdf")</f>
        <v>Generic_Dungeon_Builder-_You_can_Always_Build_Dungeons_v1.1.2.pdf</v>
      </c>
      <c r="B3202" s="12" t="str">
        <f t="shared" si="270"/>
        <v>Reddit Jumpchain Drive/Completed/Generic</v>
      </c>
    </row>
    <row r="3203">
      <c r="A3203" s="12" t="str">
        <f>HYPERLINK("https://drive.google.com/file/d/1cYevZgXfu31P4ybhowmjq0IsZrLiSBkP/view?usp=drivesdk","Generic Cartoon World v1.6 .pdf")</f>
        <v>Generic Cartoon World v1.6 .pdf</v>
      </c>
      <c r="B3203" s="12" t="str">
        <f t="shared" si="270"/>
        <v>Reddit Jumpchain Drive/Completed/Generic</v>
      </c>
    </row>
    <row r="3204">
      <c r="A3204" s="12" t="str">
        <f>HYPERLINK("https://drive.google.com/file/d/1EFLAAwEB9CV5KKoyNgCGsx1TVm6OB5ns/view?usp=drivesdk","Generic MG Jumpchan v1.0.pdf")</f>
        <v>Generic MG Jumpchan v1.0.pdf</v>
      </c>
      <c r="B3204" s="12" t="str">
        <f t="shared" si="270"/>
        <v>Reddit Jumpchain Drive/Completed/Generic</v>
      </c>
    </row>
    <row r="3205">
      <c r="A3205" s="12" t="str">
        <f>HYPERLINK("https://drive.google.com/file/d/1QXU94gqvY2kJkfnMjhMMiFlqCnuVu-MN/view?usp=drivesdk","Generic Convention Jumpchain v.1.1.pdf")</f>
        <v>Generic Convention Jumpchain v.1.1.pdf</v>
      </c>
      <c r="B3205" s="12" t="str">
        <f t="shared" si="270"/>
        <v>Reddit Jumpchain Drive/Completed/Generic</v>
      </c>
    </row>
    <row r="3206">
      <c r="A3206" s="12" t="str">
        <f>HYPERLINK("https://drive.google.com/file/d/12rWR97tKzqt6ZxdaQMtmCNnU8w6rIJP5/view?usp=drivesdk","Generic Generic Generic Jump Jump Jump.pdf")</f>
        <v>Generic Generic Generic Jump Jump Jump.pdf</v>
      </c>
      <c r="B3206" s="12" t="str">
        <f t="shared" si="270"/>
        <v>Reddit Jumpchain Drive/Completed/Generic</v>
      </c>
    </row>
    <row r="3207">
      <c r="A3207" s="12" t="str">
        <f>HYPERLINK("https://drive.google.com/file/d/1YWj1EBTXSD8NKTQryJMQCCo1PSROJoxP/view?usp=drivesdk","Generic BioTech Post-Apocalypse Jump.v.0.1..pdf")</f>
        <v>Generic BioTech Post-Apocalypse Jump.v.0.1..pdf</v>
      </c>
      <c r="B3207" s="12" t="str">
        <f t="shared" si="270"/>
        <v>Reddit Jumpchain Drive/Completed/Generic</v>
      </c>
    </row>
    <row r="3208">
      <c r="A3208" s="12" t="str">
        <f>HYPERLINK("https://drive.google.com/file/d/1AIDftatyQbMd1PQGYJMiwXsrF-fyIcyp/view?usp=drivesdk","Generic Gamer Jump.pdf")</f>
        <v>Generic Gamer Jump.pdf</v>
      </c>
      <c r="B3208" s="12" t="str">
        <f t="shared" si="270"/>
        <v>Reddit Jumpchain Drive/Completed/Generic</v>
      </c>
    </row>
    <row r="3209">
      <c r="A3209" s="12" t="str">
        <f>HYPERLINK("https://drive.google.com/file/d/12uLmTktvQVGqQW43bnWqFqGiYN3j7fVN/view?usp=drivesdk","Generic Urban Fantasy Jumpchain 2.0.pdf")</f>
        <v>Generic Urban Fantasy Jumpchain 2.0.pdf</v>
      </c>
      <c r="B3209" s="12" t="str">
        <f t="shared" si="270"/>
        <v>Reddit Jumpchain Drive/Completed/Generic</v>
      </c>
    </row>
    <row r="3210">
      <c r="A3210" s="12" t="str">
        <f>HYPERLINK("https://drive.google.com/file/d/1dSD4d3nv8kw-XoZNNWJm2rZ8xDXdCI9X/view?usp=drivesdk","Generic Worm Fanfic.pdf")</f>
        <v>Generic Worm Fanfic.pdf</v>
      </c>
      <c r="B3210" s="12" t="str">
        <f t="shared" si="270"/>
        <v>Reddit Jumpchain Drive/Completed/Generic</v>
      </c>
    </row>
    <row r="3211">
      <c r="A3211" s="12" t="str">
        <f>HYPERLINK("https://drive.google.com/file/d/1cO2DP0jn0je07Zqt1ZujZrUZohmpUmcR/view?usp=drivesdk","Generic Muscle Building Jump")</f>
        <v>Generic Muscle Building Jump</v>
      </c>
      <c r="B3211" s="12" t="str">
        <f t="shared" si="270"/>
        <v>Reddit Jumpchain Drive/Completed/Generic</v>
      </c>
    </row>
    <row r="3212">
      <c r="A3212" s="12" t="str">
        <f>HYPERLINK("https://drive.google.com/file/d/1UgDCirUM_uGkSQmy63zRZP134NDF3qxO/view?usp=drivesdk","Generic D&amp;D 5e Jumpchain v0.0.2.pdf")</f>
        <v>Generic D&amp;D 5e Jumpchain v0.0.2.pdf</v>
      </c>
      <c r="B3212" s="12" t="str">
        <f t="shared" si="270"/>
        <v>Reddit Jumpchain Drive/Completed/Generic</v>
      </c>
    </row>
    <row r="3213">
      <c r="A3213" s="12" t="str">
        <f>HYPERLINK("https://drive.google.com/file/d/1B9LTU10I496ftrx3nEyEQzVULK44-4VO/view?usp=drivesdk","Generic_TES_Fanfiction_Jumpchain")</f>
        <v>Generic_TES_Fanfiction_Jumpchain</v>
      </c>
      <c r="B3213" s="12" t="str">
        <f t="shared" si="270"/>
        <v>Reddit Jumpchain Drive/Completed/Generic</v>
      </c>
    </row>
    <row r="3214">
      <c r="A3214" s="12" t="str">
        <f>HYPERLINK("https://drive.google.com/file/d/1Tybct5Tx3wsyImp4o31Z4n-0_QVCoG9Q/view?usp=drivesdk","Generic High School.pdf")</f>
        <v>Generic High School.pdf</v>
      </c>
      <c r="B3214" s="12" t="str">
        <f t="shared" si="270"/>
        <v>Reddit Jumpchain Drive/Completed/Generic</v>
      </c>
    </row>
    <row r="3215">
      <c r="A3215" s="12" t="str">
        <f>HYPERLINK("https://drive.google.com/file/d/1fiiRTJXju3PXM3IMbBgnd-wivgsK_CAZ/view?usp=drivesdk","Generic Buffy Fanfiction.pdf")</f>
        <v>Generic Buffy Fanfiction.pdf</v>
      </c>
      <c r="B3215" s="12" t="str">
        <f t="shared" si="270"/>
        <v>Reddit Jumpchain Drive/Completed/Generic</v>
      </c>
    </row>
    <row r="3216">
      <c r="A3216" s="12" t="str">
        <f>HYPERLINK("https://drive.google.com/file/d/1I5YJVvIfAhNKFMZwvzMjg5GwJu-zHJ0S/view?usp=drivesdk","Generic Fix Fic Jump")</f>
        <v>Generic Fix Fic Jump</v>
      </c>
      <c r="B3216" s="12" t="str">
        <f t="shared" si="270"/>
        <v>Reddit Jumpchain Drive/Completed/Generic</v>
      </c>
    </row>
    <row r="3217">
      <c r="A3217" s="12" t="str">
        <f>HYPERLINK("https://drive.google.com/file/d/1IHZatdI6VF5Dq7OiC-35FzLYf_Ai9JBz/view?usp=drivesdk","GENERIC CUBICLE JUMP.pdf")</f>
        <v>GENERIC CUBICLE JUMP.pdf</v>
      </c>
      <c r="B3217" s="12" t="str">
        <f t="shared" si="270"/>
        <v>Reddit Jumpchain Drive/Completed/Generic</v>
      </c>
    </row>
    <row r="3218">
      <c r="A3218" s="12" t="str">
        <f>HYPERLINK("https://drive.google.com/file/d/1voILOWxyvr__AdRW8p_qUW4pOg1yeZdk/view?usp=drivesdk","Generic Jump.pdf")</f>
        <v>Generic Jump.pdf</v>
      </c>
      <c r="B3218" s="12" t="str">
        <f t="shared" si="270"/>
        <v>Reddit Jumpchain Drive/Completed/Generic</v>
      </c>
    </row>
    <row r="3219">
      <c r="A3219" s="12" t="str">
        <f>HYPERLINK("https://drive.google.com/file/d/13shjReNSHIFxoVPWEMj0atl3mRIHTA9_/view?usp=drivesdk","Generic 80s cartoon - Jumpchain.pdf")</f>
        <v>Generic 80s cartoon - Jumpchain.pdf</v>
      </c>
      <c r="B3219" s="12" t="str">
        <f t="shared" si="270"/>
        <v>Reddit Jumpchain Drive/Completed/Generic</v>
      </c>
    </row>
    <row r="3220">
      <c r="A3220" s="12" t="str">
        <f>HYPERLINK("https://drive.google.com/file/d/1FpDcKRIvxeLrNPdkv4CywqOazTWzXOrZ/view?usp=drivesdk","Generic BioTech Post-Apocalypse Jump.pdf")</f>
        <v>Generic BioTech Post-Apocalypse Jump.pdf</v>
      </c>
      <c r="B3220" s="12" t="str">
        <f t="shared" si="270"/>
        <v>Reddit Jumpchain Drive/Completed/Generic</v>
      </c>
    </row>
    <row r="3221">
      <c r="A3221" s="12" t="str">
        <f>HYPERLINK("https://drive.google.com/file/d/1keV8v0HxmrlYI17rmJQT57I-U9walzO6/view?usp=drivesdk","Generic Isekai Jumpchain Replacement anon version.pdf")</f>
        <v>Generic Isekai Jumpchain Replacement anon version.pdf</v>
      </c>
      <c r="B3221" s="12" t="str">
        <f t="shared" si="270"/>
        <v>Reddit Jumpchain Drive/Completed/Generic</v>
      </c>
    </row>
    <row r="3222">
      <c r="A3222" s="12" t="str">
        <f>HYPERLINK("https://drive.google.com/file/d/1TF3ppW0gLheXT_fspVps3Aq562g1eWEN/view?usp=drivesdk","Generic Dragon 044.pdf")</f>
        <v>Generic Dragon 044.pdf</v>
      </c>
      <c r="B3222" s="12" t="str">
        <f t="shared" si="270"/>
        <v>Reddit Jumpchain Drive/Completed/Generic</v>
      </c>
    </row>
    <row r="3223">
      <c r="A3223" s="12" t="str">
        <f>HYPERLINK("https://drive.google.com/file/d/1HO18wAVtqWAKOnRAUr_XobQAFip966AD/view?usp=drivesdk","Generic City of Adventure.pdf")</f>
        <v>Generic City of Adventure.pdf</v>
      </c>
      <c r="B3223" s="12" t="str">
        <f t="shared" si="270"/>
        <v>Reddit Jumpchain Drive/Completed/Generic</v>
      </c>
    </row>
    <row r="3224">
      <c r="A3224" s="12" t="str">
        <f>HYPERLINK("https://drive.google.com/file/d/10FH2a1QitMHltjz9yDTlHV63igisJtSK/view?usp=drivesdk","Generic Wretched Hive.pdf")</f>
        <v>Generic Wretched Hive.pdf</v>
      </c>
      <c r="B3224" s="12" t="str">
        <f t="shared" si="270"/>
        <v>Reddit Jumpchain Drive/Completed/Generic</v>
      </c>
    </row>
    <row r="3225">
      <c r="A3225" s="12" t="str">
        <f>HYPERLINK("https://drive.google.com/file/d/1lWbOjXuxdkewF41nwZwy_9ljww4nCUI5/view?usp=drivesdk","Generic Yandere.pdf")</f>
        <v>Generic Yandere.pdf</v>
      </c>
      <c r="B3225" s="12" t="str">
        <f t="shared" si="270"/>
        <v>Reddit Jumpchain Drive/Completed/Generic</v>
      </c>
    </row>
    <row r="3226">
      <c r="A3226" s="12" t="str">
        <f>HYPERLINK("https://drive.google.com/file/d/1uldxj996bwLdpyT8VgBwleBol37Mi7_7/view?usp=drivesdk","Jumpchain - Generic High School.pdf")</f>
        <v>Jumpchain - Generic High School.pdf</v>
      </c>
      <c r="B3226" s="12" t="str">
        <f t="shared" si="270"/>
        <v>Reddit Jumpchain Drive/Completed/Generic</v>
      </c>
    </row>
    <row r="3227">
      <c r="A3227" s="12" t="str">
        <f>HYPERLINK("https://drive.google.com/file/d/1Z7D-p0cHzXKVcZweSPkijqAIrrCczbWq/view?usp=drivesdk","Generic Teacher JumpChain.pdf")</f>
        <v>Generic Teacher JumpChain.pdf</v>
      </c>
      <c r="B3227" s="12" t="str">
        <f t="shared" si="270"/>
        <v>Reddit Jumpchain Drive/Completed/Generic</v>
      </c>
    </row>
    <row r="3228">
      <c r="A3228" s="12" t="str">
        <f>HYPERLINK("https://drive.google.com/file/d/1ApVCu_lj4BjNtsKEtoDfmO6VxbPB3Mjg/view?usp=drivesdk","Generic Divinity Jumpchain.pdf")</f>
        <v>Generic Divinity Jumpchain.pdf</v>
      </c>
      <c r="B3228" s="12" t="str">
        <f t="shared" ref="B3228:B3231" si="271">HYPERLINK("https://drive.google.com/drive/folders/1amujH9D0jPlRtwfCgabPJdZwTbJ9lbRA","Reddit Jumpchain Drive/Completed/Generic/Generic Divinity")</f>
        <v>Reddit Jumpchain Drive/Completed/Generic/Generic Divinity</v>
      </c>
    </row>
    <row r="3229">
      <c r="A3229" s="12" t="str">
        <f>HYPERLINK("https://docs.google.com/document/d/1VZ0K7W3iuJukhDoyovMWGCpbQeJ69jh_/edit?usp=drivesdk&amp;ouid=115153177157280896651&amp;rtpof=true&amp;sd=true","Generic Divinity Jumpchain.docx")</f>
        <v>Generic Divinity Jumpchain.docx</v>
      </c>
      <c r="B3229" s="12" t="str">
        <f t="shared" si="271"/>
        <v>Reddit Jumpchain Drive/Completed/Generic/Generic Divinity</v>
      </c>
    </row>
    <row r="3230">
      <c r="A3230" s="12" t="str">
        <f>HYPERLINK("https://drive.google.com/file/d/1d1K29ijVgWIsx3sybh_fkxuReZMDU613/view?usp=drivesdk","Generic Divinity Supplement - Divine Host.pdf")</f>
        <v>Generic Divinity Supplement - Divine Host.pdf</v>
      </c>
      <c r="B3230" s="12" t="str">
        <f t="shared" si="271"/>
        <v>Reddit Jumpchain Drive/Completed/Generic/Generic Divinity</v>
      </c>
    </row>
    <row r="3231">
      <c r="A3231" s="12" t="str">
        <f>HYPERLINK("https://drive.google.com/file/d/1yhIgw1LEMyh4KYDNNmWs_InSnxZTBpwQ/view?usp=drivesdk","Generic Divinity Supplement - Divine Realm.pdf")</f>
        <v>Generic Divinity Supplement - Divine Realm.pdf</v>
      </c>
      <c r="B3231" s="12" t="str">
        <f t="shared" si="271"/>
        <v>Reddit Jumpchain Drive/Completed/Generic/Generic Divinity</v>
      </c>
    </row>
    <row r="3232">
      <c r="A3232" s="12" t="str">
        <f>HYPERLINK("https://drive.google.com/file/d/1UIMtH07SdCKaNyWOA_-W-sDzTev6fFBJ/view?usp=drivesdk","Good Burger JumpChain.pdf")</f>
        <v>Good Burger JumpChain.pdf</v>
      </c>
      <c r="B3232" s="12" t="str">
        <f>HYPERLINK("https://drive.google.com/drive/folders/1HE9130P4E81wUm4WMZTFggADqmOflr44","SB Drive/Complete jumps/Joke Jumps")</f>
        <v>SB Drive/Complete jumps/Joke Jumps</v>
      </c>
    </row>
    <row r="3233">
      <c r="A3233" s="12" t="str">
        <f>HYPERLINK("https://drive.google.com/file/d/14OPVhJcTuxECYnpUUK8ccpW9uniqVbhl/view?usp=drivesdk","Generic Magical Girl JumpChan.pdf")</f>
        <v>Generic Magical Girl JumpChan.pdf</v>
      </c>
      <c r="B3233" s="12" t="str">
        <f t="shared" ref="B3233:B3287" si="272">HYPERLINK("https://drive.google.com/drive/folders/1oQt4OuHhnb8QVfnv2OtSqhP1LKsd3Gnb","SB Drive/Complete jumps/Generics")</f>
        <v>SB Drive/Complete jumps/Generics</v>
      </c>
    </row>
    <row r="3234">
      <c r="A3234" s="12" t="str">
        <f>HYPERLINK("https://drive.google.com/file/d/1HwFralWbZuCAipWRoBD84coc5XT04cHb/view?usp=drivesdk","Generic Monster Tamer JumpChain.pdf")</f>
        <v>Generic Monster Tamer JumpChain.pdf</v>
      </c>
      <c r="B3234" s="12" t="str">
        <f t="shared" si="272"/>
        <v>SB Drive/Complete jumps/Generics</v>
      </c>
    </row>
    <row r="3235">
      <c r="A3235" s="12" t="str">
        <f>HYPERLINK("https://drive.google.com/file/d/11PMP42ZVWlvN1IMK_H6gxt4D_ePZqKhP/view?usp=drivesdk","Generic Highschool DxD Fanfic JumpChain.pdf")</f>
        <v>Generic Highschool DxD Fanfic JumpChain.pdf</v>
      </c>
      <c r="B3235" s="12" t="str">
        <f t="shared" si="272"/>
        <v>SB Drive/Complete jumps/Generics</v>
      </c>
    </row>
    <row r="3236">
      <c r="A3236" s="12" t="str">
        <f>HYPERLINK("https://drive.google.com/file/d/1S99wDVzxczQxVRszl-564FvpInGGU23r/view?usp=drivesdk","Generic Giant Robot Series JumpChain.pdf")</f>
        <v>Generic Giant Robot Series JumpChain.pdf</v>
      </c>
      <c r="B3236" s="12" t="str">
        <f t="shared" si="272"/>
        <v>SB Drive/Complete jumps/Generics</v>
      </c>
    </row>
    <row r="3237">
      <c r="A3237" s="12" t="str">
        <f>HYPERLINK("https://drive.google.com/file/d/1ZrBHHJqMitdVFLnzFiuKBIywtTWaVXd1/view?usp=drivesdk","Generic First JumpChain.pdf")</f>
        <v>Generic First JumpChain.pdf</v>
      </c>
      <c r="B3237" s="12" t="str">
        <f t="shared" si="272"/>
        <v>SB Drive/Complete jumps/Generics</v>
      </c>
    </row>
    <row r="3238">
      <c r="A3238" s="12" t="str">
        <f>HYPERLINK("https://drive.google.com/file/d/16pztbxzw1KGJFc_Zse_6njVxdmG67gn9/view?usp=drivesdk","Generic Dungeon Core JumpChain.pdf")</f>
        <v>Generic Dungeon Core JumpChain.pdf</v>
      </c>
      <c r="B3238" s="12" t="str">
        <f t="shared" si="272"/>
        <v>SB Drive/Complete jumps/Generics</v>
      </c>
    </row>
    <row r="3239">
      <c r="A3239" s="12" t="str">
        <f>HYPERLINK("https://drive.google.com/file/d/1CEPLox4epdd3kfgp30whl8Ecs-AaCojn/view?usp=drivesdk","A Happy Harry Potter Fanfiction JumpChain.pdf")</f>
        <v>A Happy Harry Potter Fanfiction JumpChain.pdf</v>
      </c>
      <c r="B3239" s="12" t="str">
        <f t="shared" si="272"/>
        <v>SB Drive/Complete jumps/Generics</v>
      </c>
    </row>
    <row r="3240">
      <c r="A3240" s="12" t="str">
        <f>HYPERLINK("https://drive.google.com/file/d/1aAUd7Vn4mSP3K7P-3ScUjNZGj6mf48dx/view?usp=drivesdk","Generic First Gauntlet.pdf")</f>
        <v>Generic First Gauntlet.pdf</v>
      </c>
      <c r="B3240" s="12" t="str">
        <f t="shared" si="272"/>
        <v>SB Drive/Complete jumps/Generics</v>
      </c>
    </row>
    <row r="3241">
      <c r="A3241" s="12" t="str">
        <f>HYPERLINK("https://drive.google.com/file/d/1vB_ooSdE2S_AynGMvGInDkltlFJPxD91/view?usp=drivesdk","Generic Light Novel_Manga_Anime JumpChain.pdf")</f>
        <v>Generic Light Novel_Manga_Anime JumpChain.pdf</v>
      </c>
      <c r="B3241" s="12" t="str">
        <f t="shared" si="272"/>
        <v>SB Drive/Complete jumps/Generics</v>
      </c>
    </row>
    <row r="3242">
      <c r="A3242" s="12" t="str">
        <f>HYPERLINK("https://drive.google.com/file/d/1-GcGPSQRBxcO_LKf54X2P2vqT8joHsH2/view?usp=drivesdk","Generic Island _Castaway_ JumpChain.pdf")</f>
        <v>Generic Island _Castaway_ JumpChain.pdf</v>
      </c>
      <c r="B3242" s="12" t="str">
        <f t="shared" si="272"/>
        <v>SB Drive/Complete jumps/Generics</v>
      </c>
    </row>
    <row r="3243">
      <c r="A3243" s="12" t="str">
        <f>HYPERLINK("https://drive.google.com/file/d/1fGdTcaj-ojLAXoodIBlV582WXdxV2_b2/view?usp=drivesdk","Avatar Fanfiction JumpChain.pdf")</f>
        <v>Avatar Fanfiction JumpChain.pdf</v>
      </c>
      <c r="B3243" s="12" t="str">
        <f t="shared" si="272"/>
        <v>SB Drive/Complete jumps/Generics</v>
      </c>
    </row>
    <row r="3244">
      <c r="A3244" s="12" t="str">
        <f>HYPERLINK("https://drive.google.com/file/d/1BFimBgy0bJg2iCZKY59cGybrn9dCX0T_/view?usp=drivesdk","Generic RWBY Fanfiction JumpChain.pdf")</f>
        <v>Generic RWBY Fanfiction JumpChain.pdf</v>
      </c>
      <c r="B3244" s="12" t="str">
        <f t="shared" si="272"/>
        <v>SB Drive/Complete jumps/Generics</v>
      </c>
    </row>
    <row r="3245">
      <c r="A3245" s="12" t="str">
        <f>HYPERLINK("https://drive.google.com/file/d/1raHFm5fa-ryAg0Ebb6trLBz8GnRW3aUG/view?usp=drivesdk","Generic Worm CYOA Fanfiction JumpChain.pdf")</f>
        <v>Generic Worm CYOA Fanfiction JumpChain.pdf</v>
      </c>
      <c r="B3245" s="12" t="str">
        <f t="shared" si="272"/>
        <v>SB Drive/Complete jumps/Generics</v>
      </c>
    </row>
    <row r="3246">
      <c r="A3246" s="12" t="str">
        <f>HYPERLINK("https://drive.google.com/file/d/104FICt2ImmV7A6tAzE4tW1BXnB4o3uM_/view?usp=drivesdk","Generic Worm Fanfiction JumpChain.pdf")</f>
        <v>Generic Worm Fanfiction JumpChain.pdf</v>
      </c>
      <c r="B3246" s="12" t="str">
        <f t="shared" si="272"/>
        <v>SB Drive/Complete jumps/Generics</v>
      </c>
    </row>
    <row r="3247">
      <c r="A3247" s="12" t="str">
        <f>HYPERLINK("https://drive.google.com/file/d/15ZAdvndoaJEFoONtGnP6UGC85veso6KK/view?usp=drivesdk","Generic Worm Fanfiction III_ Revenge of the Son of Generic Worm Fanfiction JumpChain.pdf")</f>
        <v>Generic Worm Fanfiction III_ Revenge of the Son of Generic Worm Fanfiction JumpChain.pdf</v>
      </c>
      <c r="B3247" s="12" t="str">
        <f t="shared" si="272"/>
        <v>SB Drive/Complete jumps/Generics</v>
      </c>
    </row>
    <row r="3248">
      <c r="A3248" s="12" t="str">
        <f>HYPERLINK("https://drive.google.com/file/d/1sOO6XSiICJ_eg3vvq1oqIHH8ZJ3ZJU1O/view?usp=drivesdk","Generic Naruto Fanfiction JumpChain.pdf")</f>
        <v>Generic Naruto Fanfiction JumpChain.pdf</v>
      </c>
      <c r="B3248" s="12" t="str">
        <f t="shared" si="272"/>
        <v>SB Drive/Complete jumps/Generics</v>
      </c>
    </row>
    <row r="3249">
      <c r="A3249" s="12" t="str">
        <f>HYPERLINK("https://drive.google.com/file/d/1QO5AT-vkHUq1FAcvHJXK0hWyJLh6NYv9/view?usp=drivesdk","Generic Harry Potter Fanfiction JumpChain.pdf")</f>
        <v>Generic Harry Potter Fanfiction JumpChain.pdf</v>
      </c>
      <c r="B3249" s="12" t="str">
        <f t="shared" si="272"/>
        <v>SB Drive/Complete jumps/Generics</v>
      </c>
    </row>
    <row r="3250">
      <c r="A3250" s="12" t="str">
        <f>HYPERLINK("https://drive.google.com/file/d/1LSc04VgqmniCWwWo2zIE73dvK4vDnMVQ/view?usp=drivesdk","Generic Time Loop Gauntlet.pdf")</f>
        <v>Generic Time Loop Gauntlet.pdf</v>
      </c>
      <c r="B3250" s="12" t="str">
        <f t="shared" si="272"/>
        <v>SB Drive/Complete jumps/Generics</v>
      </c>
    </row>
    <row r="3251">
      <c r="A3251" s="12" t="str">
        <f>HYPERLINK("https://drive.google.com/file/d/1CfHLvcLAG6UwgiHX8Bkd1I2Dv3yomgHq/view?usp=drivesdk","Generic Childhood Gauntlet.pdf")</f>
        <v>Generic Childhood Gauntlet.pdf</v>
      </c>
      <c r="B3251" s="12" t="str">
        <f t="shared" si="272"/>
        <v>SB Drive/Complete jumps/Generics</v>
      </c>
    </row>
    <row r="3252">
      <c r="A3252" s="12" t="str">
        <f>HYPERLINK("https://drive.google.com/file/d/1Z28ozf4obPgsfMChPbjc7vRMdn_bUyx-/view?usp=drivesdk","Generic Vampire JumpChain.pdf")</f>
        <v>Generic Vampire JumpChain.pdf</v>
      </c>
      <c r="B3252" s="12" t="str">
        <f t="shared" si="272"/>
        <v>SB Drive/Complete jumps/Generics</v>
      </c>
    </row>
    <row r="3253">
      <c r="A3253" s="12" t="str">
        <f>HYPERLINK("https://drive.google.com/file/d/1X2NTWW8LcQW-J99R8HSHRLHejds9N-UY/view?usp=drivesdk","Generic Vacation JumpChain.pdf")</f>
        <v>Generic Vacation JumpChain.pdf</v>
      </c>
      <c r="B3253" s="12" t="str">
        <f t="shared" si="272"/>
        <v>SB Drive/Complete jumps/Generics</v>
      </c>
    </row>
    <row r="3254">
      <c r="A3254" s="12" t="str">
        <f>HYPERLINK("https://drive.google.com/file/d/1E5TA7aC4rdV8Z5Hkx7dkjiYJHSlUAtT1/view?usp=drivesdk","Generic Thirst JumpChain.pdf")</f>
        <v>Generic Thirst JumpChain.pdf</v>
      </c>
      <c r="B3254" s="12" t="str">
        <f t="shared" si="272"/>
        <v>SB Drive/Complete jumps/Generics</v>
      </c>
    </row>
    <row r="3255">
      <c r="A3255" s="12" t="str">
        <f>HYPERLINK("https://drive.google.com/file/d/1wCWzrmoG8WCPIkA810eQTYA1M8hu5evx/view?usp=drivesdk","Generic Super Academy JumpChain.pdf")</f>
        <v>Generic Super Academy JumpChain.pdf</v>
      </c>
      <c r="B3255" s="12" t="str">
        <f t="shared" si="272"/>
        <v>SB Drive/Complete jumps/Generics</v>
      </c>
    </row>
    <row r="3256">
      <c r="A3256" s="12" t="str">
        <f>HYPERLINK("https://drive.google.com/file/d/1nW0xD0k3NOuCtGu8hlpbrG3_9t-pI0Kd/view?usp=drivesdk","Generic Spy Thriller JumpChain.pdf")</f>
        <v>Generic Spy Thriller JumpChain.pdf</v>
      </c>
      <c r="B3256" s="12" t="str">
        <f t="shared" si="272"/>
        <v>SB Drive/Complete jumps/Generics</v>
      </c>
    </row>
    <row r="3257">
      <c r="A3257" s="12" t="str">
        <f>HYPERLINK("https://drive.google.com/file/d/1wemBLYYRi8KAgsqGhhgj0jV-u6FuUnrP/view?usp=drivesdk","Generic SpaceBattles JumpChain.pdf")</f>
        <v>Generic SpaceBattles JumpChain.pdf</v>
      </c>
      <c r="B3257" s="12" t="str">
        <f t="shared" si="272"/>
        <v>SB Drive/Complete jumps/Generics</v>
      </c>
    </row>
    <row r="3258">
      <c r="A3258" s="12" t="str">
        <f>HYPERLINK("https://drive.google.com/file/d/1XIv1XnmO7GvD40rI9qriC7QgLE8xhhcv/view?usp=drivesdk","Generic Space Opera JumpChain.pdf")</f>
        <v>Generic Space Opera JumpChain.pdf</v>
      </c>
      <c r="B3258" s="12" t="str">
        <f t="shared" si="272"/>
        <v>SB Drive/Complete jumps/Generics</v>
      </c>
    </row>
    <row r="3259">
      <c r="A3259" s="12" t="str">
        <f>HYPERLINK("https://drive.google.com/file/d/1Uey7MCkxs8R_c9wHn3Bv-Yd2DXhkXJc7/view?usp=drivesdk","Generic Romantic Story JumpChain.pdf")</f>
        <v>Generic Romantic Story JumpChain.pdf</v>
      </c>
      <c r="B3259" s="12" t="str">
        <f t="shared" si="272"/>
        <v>SB Drive/Complete jumps/Generics</v>
      </c>
    </row>
    <row r="3260">
      <c r="A3260" s="12" t="str">
        <f>HYPERLINK("https://drive.google.com/file/d/1vmLvSPFze7Mq6aAOSJ_uGjvdPUzD1XVZ/view?usp=drivesdk","Generic Roleplayer JumpChain.pdf")</f>
        <v>Generic Roleplayer JumpChain.pdf</v>
      </c>
      <c r="B3260" s="12" t="str">
        <f t="shared" si="272"/>
        <v>SB Drive/Complete jumps/Generics</v>
      </c>
    </row>
    <row r="3261">
      <c r="A3261" s="12" t="str">
        <f>HYPERLINK("https://drive.google.com/file/d/14khQigAj8LT2PPURr9n42rgLcMrPi-1D/view?usp=drivesdk","Generic Pathfinder RPG JumpChain.pdf")</f>
        <v>Generic Pathfinder RPG JumpChain.pdf</v>
      </c>
      <c r="B3261" s="12" t="str">
        <f t="shared" si="272"/>
        <v>SB Drive/Complete jumps/Generics</v>
      </c>
    </row>
    <row r="3262">
      <c r="A3262" s="12" t="str">
        <f>HYPERLINK("https://drive.google.com/file/d/18mSAsCJiuzBlpkQZQLoBwka5mMcroJ4w/view?usp=drivesdk","Generic Muscle Building JumpChain.pdf")</f>
        <v>Generic Muscle Building JumpChain.pdf</v>
      </c>
      <c r="B3262" s="12" t="str">
        <f t="shared" si="272"/>
        <v>SB Drive/Complete jumps/Generics</v>
      </c>
    </row>
    <row r="3263">
      <c r="A3263" s="12" t="str">
        <f>HYPERLINK("https://drive.google.com/file/d/13afh5fY-HeMCbNSdya6UEzDjT3ifH7uX/view?usp=drivesdk","Generic Minecraft JumpChain.pdf")</f>
        <v>Generic Minecraft JumpChain.pdf</v>
      </c>
      <c r="B3263" s="12" t="str">
        <f t="shared" si="272"/>
        <v>SB Drive/Complete jumps/Generics</v>
      </c>
    </row>
    <row r="3264">
      <c r="A3264" s="12" t="str">
        <f>HYPERLINK("https://drive.google.com/file/d/1tEblrn5zxqepiCUb-UXJLm_FfjASWLeo/view?usp=drivesdk","Generic Military JumpChain.pdf")</f>
        <v>Generic Military JumpChain.pdf</v>
      </c>
      <c r="B3264" s="12" t="str">
        <f t="shared" si="272"/>
        <v>SB Drive/Complete jumps/Generics</v>
      </c>
    </row>
    <row r="3265">
      <c r="A3265" s="12" t="str">
        <f>HYPERLINK("https://drive.google.com/file/d/1ewaTlqAXGry__VzA5vRZ4EOeI02KALEJ/view?usp=drivesdk","Generic Humanity Fuck Yeah JumpChain.pdf")</f>
        <v>Generic Humanity Fuck Yeah JumpChain.pdf</v>
      </c>
      <c r="B3265" s="12" t="str">
        <f t="shared" si="272"/>
        <v>SB Drive/Complete jumps/Generics</v>
      </c>
    </row>
    <row r="3266">
      <c r="A3266" s="12" t="str">
        <f>HYPERLINK("https://drive.google.com/file/d/1RgXbvKL2R7C9Nb3nIk0_AvQV98rd8OCz/view?usp=drivesdk","Generic Generic Jump Jump JumpChain.pdf")</f>
        <v>Generic Generic Jump Jump JumpChain.pdf</v>
      </c>
      <c r="B3266" s="12" t="str">
        <f t="shared" si="272"/>
        <v>SB Drive/Complete jumps/Generics</v>
      </c>
    </row>
    <row r="3267">
      <c r="A3267" s="12" t="str">
        <f>HYPERLINK("https://drive.google.com/file/d/1p0BKyNbGQ3oZV0-XK0D0iB86QeL4Mk5V/view?usp=drivesdk","Generic Fist JumpChain.pdf")</f>
        <v>Generic Fist JumpChain.pdf</v>
      </c>
      <c r="B3267" s="12" t="str">
        <f t="shared" si="272"/>
        <v>SB Drive/Complete jumps/Generics</v>
      </c>
    </row>
    <row r="3268">
      <c r="A3268" s="12" t="str">
        <f>HYPERLINK("https://drive.google.com/file/d/1xhvrV7TqI1qGw6F_RGO3fH1eZR6gQt73/view?usp=drivesdk","Generic Fantasy RPG JumpChain.pdf")</f>
        <v>Generic Fantasy RPG JumpChain.pdf</v>
      </c>
      <c r="B3268" s="12" t="str">
        <f t="shared" si="272"/>
        <v>SB Drive/Complete jumps/Generics</v>
      </c>
    </row>
    <row r="3269">
      <c r="A3269" s="12" t="str">
        <f>HYPERLINK("https://drive.google.com/file/d/1BEIZDqp7yzSuofRXtjBmlMmQhqFTkb9h/view?usp=drivesdk","Generic Fantasy Otome Academy JumpChain.pdf")</f>
        <v>Generic Fantasy Otome Academy JumpChain.pdf</v>
      </c>
      <c r="B3269" s="12" t="str">
        <f t="shared" si="272"/>
        <v>SB Drive/Complete jumps/Generics</v>
      </c>
    </row>
    <row r="3270">
      <c r="A3270" s="12" t="str">
        <f>HYPERLINK("https://drive.google.com/file/d/17gsJH1pE0vaLb3KJ3Sqd7h_Q9mF4bLWA/view?usp=drivesdk","Generic Family Pet JumpChain.pdf")</f>
        <v>Generic Family Pet JumpChain.pdf</v>
      </c>
      <c r="B3270" s="12" t="str">
        <f t="shared" si="272"/>
        <v>SB Drive/Complete jumps/Generics</v>
      </c>
    </row>
    <row r="3271">
      <c r="A3271" s="12" t="str">
        <f>HYPERLINK("https://drive.google.com/file/d/1eWXeaZ3xewDkvX_sCvpQiRK7E8lpZZOE/view?usp=drivesdk","Generic Fairy Tale JumpChain.pdf")</f>
        <v>Generic Fairy Tale JumpChain.pdf</v>
      </c>
      <c r="B3271" s="12" t="str">
        <f t="shared" si="272"/>
        <v>SB Drive/Complete jumps/Generics</v>
      </c>
    </row>
    <row r="3272">
      <c r="A3272" s="12" t="str">
        <f>HYPERLINK("https://drive.google.com/file/d/1JUWUJ_Iueu4rjVEqwi1ebBUEluBKY-lj/view?usp=drivesdk","Generic Factory JumpChain.pdf")</f>
        <v>Generic Factory JumpChain.pdf</v>
      </c>
      <c r="B3272" s="12" t="str">
        <f t="shared" si="272"/>
        <v>SB Drive/Complete jumps/Generics</v>
      </c>
    </row>
    <row r="3273">
      <c r="A3273" s="12" t="str">
        <f>HYPERLINK("https://drive.google.com/file/d/1bvg1R81pDdilbErt-F30Fou7KZ45lOUJ/view?usp=drivesdk","Generic Exalted JumpChain.pdf")</f>
        <v>Generic Exalted JumpChain.pdf</v>
      </c>
      <c r="B3273" s="12" t="str">
        <f t="shared" si="272"/>
        <v>SB Drive/Complete jumps/Generics</v>
      </c>
    </row>
    <row r="3274">
      <c r="A3274" s="12" t="str">
        <f>HYPERLINK("https://drive.google.com/file/d/1d4lfo71ymiFFiirdDUGkTMuvfPJqJttL/view?usp=drivesdk","Generic Elementalism JumpChain.pdf")</f>
        <v>Generic Elementalism JumpChain.pdf</v>
      </c>
      <c r="B3274" s="12" t="str">
        <f t="shared" si="272"/>
        <v>SB Drive/Complete jumps/Generics</v>
      </c>
    </row>
    <row r="3275">
      <c r="A3275" s="12" t="str">
        <f>HYPERLINK("https://drive.google.com/file/d/1JIbdwZSmzjIJaMIudi_fxRdTEWalPILm/view?usp=drivesdk","Generic CYOA JumpChain.pdf")</f>
        <v>Generic CYOA JumpChain.pdf</v>
      </c>
      <c r="B3275" s="12" t="str">
        <f t="shared" si="272"/>
        <v>SB Drive/Complete jumps/Generics</v>
      </c>
    </row>
    <row r="3276">
      <c r="A3276" s="12" t="str">
        <f>HYPERLINK("https://drive.google.com/file/d/1fNFMwBC9zhuAZTkHitFeRT2CqIVa32UO/view?usp=drivesdk","Generic Cubicle JumpChain.pdf")</f>
        <v>Generic Cubicle JumpChain.pdf</v>
      </c>
      <c r="B3276" s="12" t="str">
        <f t="shared" si="272"/>
        <v>SB Drive/Complete jumps/Generics</v>
      </c>
    </row>
    <row r="3277">
      <c r="A3277" s="12" t="str">
        <f>HYPERLINK("https://drive.google.com/file/d/1P0VDeBxumjuE6wWucE3iYJ1IIKwevFP6/view?usp=drivesdk","Generic Cartoon World JumpChain.pdf")</f>
        <v>Generic Cartoon World JumpChain.pdf</v>
      </c>
      <c r="B3277" s="12" t="str">
        <f t="shared" si="272"/>
        <v>SB Drive/Complete jumps/Generics</v>
      </c>
    </row>
    <row r="3278">
      <c r="A3278" s="12" t="str">
        <f>HYPERLINK("https://drive.google.com/file/d/1T85DGs5-05YkNRT5tlfoIX4aLbehDbL2/view?usp=drivesdk","Generic Builder JumpChain.pdf")</f>
        <v>Generic Builder JumpChain.pdf</v>
      </c>
      <c r="B3278" s="12" t="str">
        <f t="shared" si="272"/>
        <v>SB Drive/Complete jumps/Generics</v>
      </c>
    </row>
    <row r="3279">
      <c r="A3279" s="12" t="str">
        <f>HYPERLINK("https://drive.google.com/file/d/1nqS8mP2KUDAQYuVRhUbYJpbmjb7Q9Or3/view?usp=drivesdk","Generic Bears JumpChain.pdf")</f>
        <v>Generic Bears JumpChain.pdf</v>
      </c>
      <c r="B3279" s="12" t="str">
        <f t="shared" si="272"/>
        <v>SB Drive/Complete jumps/Generics</v>
      </c>
    </row>
    <row r="3280">
      <c r="A3280" s="12" t="str">
        <f>HYPERLINK("https://drive.google.com/file/d/1hsgyOquO6Oy5mNADxbx3xS-zAfVS11F1/view?usp=drivesdk","Generic Australia JumpChain.pdf")</f>
        <v>Generic Australia JumpChain.pdf</v>
      </c>
      <c r="B3280" s="12" t="str">
        <f t="shared" si="272"/>
        <v>SB Drive/Complete jumps/Generics</v>
      </c>
    </row>
    <row r="3281">
      <c r="A3281" s="12" t="str">
        <f>HYPERLINK("https://drive.google.com/file/d/1yjoSHXa2R09aAlsxl6700JdNHlhF39Wn/view?usp=drivesdk","Generic AI JumpChain.pdf")</f>
        <v>Generic AI JumpChain.pdf</v>
      </c>
      <c r="B3281" s="12" t="str">
        <f t="shared" si="272"/>
        <v>SB Drive/Complete jumps/Generics</v>
      </c>
    </row>
    <row r="3282">
      <c r="A3282" s="12" t="str">
        <f>HYPERLINK("https://drive.google.com/file/d/1cVF6ZmKBMVzmYlQBhZHpgp-SdSnUTgih/view?usp=drivesdk","Generic Pirate JumpChain.pdf")</f>
        <v>Generic Pirate JumpChain.pdf</v>
      </c>
      <c r="B3282" s="12" t="str">
        <f t="shared" si="272"/>
        <v>SB Drive/Complete jumps/Generics</v>
      </c>
    </row>
    <row r="3283">
      <c r="A3283" s="12" t="str">
        <f>HYPERLINK("https://drive.google.com/file/d/1WSAezGnLidQNjY3FM1AcoG8Y2y98J7o-/view?usp=drivesdk","Generic ASOIAF Fanfiction JumpChain.pdf")</f>
        <v>Generic ASOIAF Fanfiction JumpChain.pdf</v>
      </c>
      <c r="B3283" s="12" t="str">
        <f t="shared" si="272"/>
        <v>SB Drive/Complete jumps/Generics</v>
      </c>
    </row>
    <row r="3284">
      <c r="A3284" s="12" t="str">
        <f>HYPERLINK("https://drive.google.com/file/d/1Irt1MRHSA22pbfpot47ek7WNlswhXlJ6/view?usp=drivesdk","Generic Edutainment Video Game Gauntlet.pdf")</f>
        <v>Generic Edutainment Video Game Gauntlet.pdf</v>
      </c>
      <c r="B3284" s="12" t="str">
        <f t="shared" si="272"/>
        <v>SB Drive/Complete jumps/Generics</v>
      </c>
    </row>
    <row r="3285">
      <c r="A3285" s="12" t="str">
        <f>HYPERLINK("https://drive.google.com/file/d/15GBAj26aUxvRI-Jm7817--eO1iCRA07U/view?usp=drivesdk","Generic Superheroes JumpChain.pdf")</f>
        <v>Generic Superheroes JumpChain.pdf</v>
      </c>
      <c r="B3285" s="12" t="str">
        <f t="shared" si="272"/>
        <v>SB Drive/Complete jumps/Generics</v>
      </c>
    </row>
    <row r="3286">
      <c r="A3286" s="12" t="str">
        <f>HYPERLINK("https://drive.google.com/file/d/12RTa2nOuHBays6S6648IoGSebSHfXsSl/view?usp=drivesdk","Generic Dinosaur Gauntlet.pdf")</f>
        <v>Generic Dinosaur Gauntlet.pdf</v>
      </c>
      <c r="B3286" s="12" t="str">
        <f t="shared" si="272"/>
        <v>SB Drive/Complete jumps/Generics</v>
      </c>
    </row>
    <row r="3287">
      <c r="A3287" s="12" t="str">
        <f>HYPERLINK("https://drive.google.com/file/d/1_Jo0jEHiaW6WQZfOSp6vWEgfhNRV2TX0/view?usp=drivesdk","Generic TCG Anime JumpChain.pdf")</f>
        <v>Generic TCG Anime JumpChain.pdf</v>
      </c>
      <c r="B3287" s="12" t="str">
        <f t="shared" si="272"/>
        <v>SB Drive/Complete jumps/Generics</v>
      </c>
    </row>
    <row r="3288">
      <c r="A3288" s="12" t="str">
        <f>HYPERLINK("https://drive.google.com/file/d/163csAPTC9GT4NJyX5PTEr3RCTC2nDsaR/view?usp=drivesdk","Zero-K JumpChain.pdf")</f>
        <v>Zero-K JumpChain.pdf</v>
      </c>
      <c r="B3288" s="12" t="str">
        <f t="shared" ref="B3288:B3307" si="273">HYPERLINK("https://drive.google.com/drive/folders/1FcsgFTJ0JrfVdvw_66UZXrVsyA3eVOaM","SB Drive/Complete jumps/Alphabetical - U, V, W, X, Y, Z")</f>
        <v>SB Drive/Complete jumps/Alphabetical - U, V, W, X, Y, Z</v>
      </c>
    </row>
    <row r="3289">
      <c r="A3289" s="12" t="str">
        <f>HYPERLINK("https://drive.google.com/file/d/1uu8naQinQXiIWKtm9j5shkUiibgqvKuD/view?usp=drivesdk","World Keeper JumpChain.pdf")</f>
        <v>World Keeper JumpChain.pdf</v>
      </c>
      <c r="B3289" s="12" t="str">
        <f t="shared" si="273"/>
        <v>SB Drive/Complete jumps/Alphabetical - U, V, W, X, Y, Z</v>
      </c>
    </row>
    <row r="3290">
      <c r="A3290" s="12" t="str">
        <f>HYPERLINK("https://drive.google.com/file/d/1UWjK7IaEHjs5eGVwh_Wkl7E5wFTix3vI/view?usp=drivesdk","World Conversion to RPG System JumpChain.pdf")</f>
        <v>World Conversion to RPG System JumpChain.pdf</v>
      </c>
      <c r="B3290" s="12" t="str">
        <f t="shared" si="273"/>
        <v>SB Drive/Complete jumps/Alphabetical - U, V, W, X, Y, Z</v>
      </c>
    </row>
    <row r="3291">
      <c r="A3291" s="12" t="str">
        <f>HYPERLINK("https://drive.google.com/file/d/0By8NY-NO4-N5Q0NLRjZlMThIR3M/view?usp=drivesdk&amp;resourcekey=0-mYr8_3jVi7Tui8FMCUzLFA","Whose Line is it Anyway? JumpChain.pdf")</f>
        <v>Whose Line is it Anyway? JumpChain.pdf</v>
      </c>
      <c r="B3291" s="12" t="str">
        <f t="shared" si="273"/>
        <v>SB Drive/Complete jumps/Alphabetical - U, V, W, X, Y, Z</v>
      </c>
    </row>
    <row r="3292">
      <c r="A3292" s="12" t="str">
        <f>HYPERLINK("https://drive.google.com/file/d/1rmN_Z5sudMFW0LYZBfyLmQCZzTtCb3xt/view?usp=drivesdk","Zorro JumpChain.pdf")</f>
        <v>Zorro JumpChain.pdf</v>
      </c>
      <c r="B3292" s="12" t="str">
        <f t="shared" si="273"/>
        <v>SB Drive/Complete jumps/Alphabetical - U, V, W, X, Y, Z</v>
      </c>
    </row>
    <row r="3293">
      <c r="A3293" s="12" t="str">
        <f>HYPERLINK("https://drive.google.com/file/d/1qaoi-k4r70cVw5B6mRUSmjzkz8yfkzxI/view?usp=drivesdk","Yes Minister JumpChain.pdf")</f>
        <v>Yes Minister JumpChain.pdf</v>
      </c>
      <c r="B3293" s="12" t="str">
        <f t="shared" si="273"/>
        <v>SB Drive/Complete jumps/Alphabetical - U, V, W, X, Y, Z</v>
      </c>
    </row>
    <row r="3294">
      <c r="A3294" s="12" t="str">
        <f>HYPERLINK("https://drive.google.com/file/d/1IwiWvT30llbwh2WnoGUsl-0HZ7-W0mys/view?usp=drivesdk","Wonderland No More JumpChain.pdf")</f>
        <v>Wonderland No More JumpChain.pdf</v>
      </c>
      <c r="B3294" s="12" t="str">
        <f t="shared" si="273"/>
        <v>SB Drive/Complete jumps/Alphabetical - U, V, W, X, Y, Z</v>
      </c>
    </row>
    <row r="3295">
      <c r="A3295" s="12" t="str">
        <f>HYPERLINK("https://drive.google.com/file/d/11E6PwEwntmOT0AsPndjqUQPlmTzwwP98/view?usp=drivesdk","Wolfwalkers JumpChain.pdf")</f>
        <v>Wolfwalkers JumpChain.pdf</v>
      </c>
      <c r="B3295" s="12" t="str">
        <f t="shared" si="273"/>
        <v>SB Drive/Complete jumps/Alphabetical - U, V, W, X, Y, Z</v>
      </c>
    </row>
    <row r="3296">
      <c r="A3296" s="12" t="str">
        <f>HYPERLINK("https://drive.google.com/file/d/1eOWAgJjSrOdumJzlNyfYb5GbwvOx5BVO/view?usp=drivesdk","Winx Club JumpChain.pdf")</f>
        <v>Winx Club JumpChain.pdf</v>
      </c>
      <c r="B3296" s="12" t="str">
        <f t="shared" si="273"/>
        <v>SB Drive/Complete jumps/Alphabetical - U, V, W, X, Y, Z</v>
      </c>
    </row>
    <row r="3297">
      <c r="A3297" s="12" t="str">
        <f>HYPERLINK("https://drive.google.com/file/d/1O8b3WETpQtA2r31oirHiaT-E5Iemw0mq/view?usp=drivesdk","Wild Cardz JumpChain.pdf")</f>
        <v>Wild Cardz JumpChain.pdf</v>
      </c>
      <c r="B3297" s="12" t="str">
        <f t="shared" si="273"/>
        <v>SB Drive/Complete jumps/Alphabetical - U, V, W, X, Y, Z</v>
      </c>
    </row>
    <row r="3298">
      <c r="A3298" s="12" t="str">
        <f>HYPERLINK("https://drive.google.com/file/d/12EDwpB99hz8sAqlqLqUpkmsJB5VUDk9h/view?usp=drivesdk","White Collar JumpChain.pdf")</f>
        <v>White Collar JumpChain.pdf</v>
      </c>
      <c r="B3298" s="12" t="str">
        <f t="shared" si="273"/>
        <v>SB Drive/Complete jumps/Alphabetical - U, V, W, X, Y, Z</v>
      </c>
    </row>
    <row r="3299">
      <c r="A3299" s="12" t="str">
        <f>HYPERLINK("https://drive.google.com/file/d/0By8NY-NO4-N5M19rWnBVVDdkWm8/view?usp=drivesdk&amp;resourcekey=0-hvzHyzkN65fcUKlqsDa4nQ","Wee Sing JumpChain.pdf")</f>
        <v>Wee Sing JumpChain.pdf</v>
      </c>
      <c r="B3299" s="12" t="str">
        <f t="shared" si="273"/>
        <v>SB Drive/Complete jumps/Alphabetical - U, V, W, X, Y, Z</v>
      </c>
    </row>
    <row r="3300">
      <c r="A3300" s="12" t="str">
        <f>HYPERLINK("https://drive.google.com/file/d/1Na6rkLqrp-D6v-61irAMN_q9m_ZOQ-xD/view?usp=drivesdk","Wayward Sons JumpChain.pdf")</f>
        <v>Wayward Sons JumpChain.pdf</v>
      </c>
      <c r="B3300" s="12" t="str">
        <f t="shared" si="273"/>
        <v>SB Drive/Complete jumps/Alphabetical - U, V, W, X, Y, Z</v>
      </c>
    </row>
    <row r="3301">
      <c r="A3301" s="12" t="str">
        <f>HYPERLINK("https://drive.google.com/file/d/1_eeUd1sMxCVrPRcu-pkJljaDaZuiaL5p/view?usp=drivesdk","Warframe JumpChain (SB version).pdf")</f>
        <v>Warframe JumpChain (SB version).pdf</v>
      </c>
      <c r="B3301" s="12" t="str">
        <f t="shared" si="273"/>
        <v>SB Drive/Complete jumps/Alphabetical - U, V, W, X, Y, Z</v>
      </c>
    </row>
    <row r="3302">
      <c r="A3302" s="12" t="str">
        <f>HYPERLINK("https://drive.google.com/file/d/1nmfAfZWn9l3V12al9JGnRntfo4b18xYO/view?usp=drivesdk","Wandersong JumpChain.pdf")</f>
        <v>Wandersong JumpChain.pdf</v>
      </c>
      <c r="B3302" s="12" t="str">
        <f t="shared" si="273"/>
        <v>SB Drive/Complete jumps/Alphabetical - U, V, W, X, Y, Z</v>
      </c>
    </row>
    <row r="3303">
      <c r="A3303" s="12" t="str">
        <f>HYPERLINK("https://drive.google.com/file/d/1IfiNaI5GyifP0-mL3e9qZi7dt5bLEID4/view?usp=drivesdk","Vampire Diaries JumpChain.pdf")</f>
        <v>Vampire Diaries JumpChain.pdf</v>
      </c>
      <c r="B3303" s="12" t="str">
        <f t="shared" si="273"/>
        <v>SB Drive/Complete jumps/Alphabetical - U, V, W, X, Y, Z</v>
      </c>
    </row>
    <row r="3304">
      <c r="A3304" s="12" t="str">
        <f>HYPERLINK("https://drive.google.com/file/d/1t9ilwC3jV4Kp-OJJ9bqOeKq6MgxeaKA0/view?usp=drivesdk","Uplift Protocol JumpChain.pdf")</f>
        <v>Uplift Protocol JumpChain.pdf</v>
      </c>
      <c r="B3304" s="12" t="str">
        <f t="shared" si="273"/>
        <v>SB Drive/Complete jumps/Alphabetical - U, V, W, X, Y, Z</v>
      </c>
    </row>
    <row r="3305">
      <c r="A3305" s="12" t="str">
        <f>HYPERLINK("https://drive.google.com/file/d/1rQ0bSB_uF6_OrJGoD1a6mVlaJb6Khf1w/view?usp=drivesdk","Unreal Tournament 2003 &amp; 2004 JumpChain.pdf")</f>
        <v>Unreal Tournament 2003 &amp; 2004 JumpChain.pdf</v>
      </c>
      <c r="B3305" s="12" t="str">
        <f t="shared" si="273"/>
        <v>SB Drive/Complete jumps/Alphabetical - U, V, W, X, Y, Z</v>
      </c>
    </row>
    <row r="3306">
      <c r="A3306" s="12" t="str">
        <f>HYPERLINK("https://drive.google.com/file/d/1kTengdIGa00oXtM0hzXOXYnaUPROFe15/view?usp=drivesdk","Ultimate War JumpChain.pdf")</f>
        <v>Ultimate War JumpChain.pdf</v>
      </c>
      <c r="B3306" s="12" t="str">
        <f t="shared" si="273"/>
        <v>SB Drive/Complete jumps/Alphabetical - U, V, W, X, Y, Z</v>
      </c>
    </row>
    <row r="3307">
      <c r="A3307" s="12" t="str">
        <f>HYPERLINK("https://drive.google.com/file/d/1dt8pOA_XxKM52DRa9Foj_rvwaFdNroAn/view?usp=drivesdk","Undermind JumpChain.pdf")</f>
        <v>Undermind JumpChain.pdf</v>
      </c>
      <c r="B3307" s="12" t="str">
        <f t="shared" si="273"/>
        <v>SB Drive/Complete jumps/Alphabetical - U, V, W, X, Y, Z</v>
      </c>
    </row>
    <row r="3308">
      <c r="A3308" s="12" t="str">
        <f>HYPERLINK("https://drive.google.com/file/d/1_eQywWAP5EbDKq7uZMfRMhPsZ2igGjpg/view?usp=drivesdk","The Idaten Deities Know Only Peace JumpChain.pdf")</f>
        <v>The Idaten Deities Know Only Peace JumpChain.pdf</v>
      </c>
      <c r="B3308" s="12" t="str">
        <f t="shared" ref="B3308:B3399" si="274">HYPERLINK("https://drive.google.com/drive/folders/1N-0896PCpRsWS9YCw6aqA1Dh7gElHqnJ","SB Drive/Complete jumps/Alphabetical - P, Q, R, S, T")</f>
        <v>SB Drive/Complete jumps/Alphabetical - P, Q, R, S, T</v>
      </c>
    </row>
    <row r="3309">
      <c r="A3309" s="12" t="str">
        <f>HYPERLINK("https://drive.google.com/file/d/1VazHvGpNj38TdKgZBMkcVPe_NQ9drpjT/view?usp=drivesdk","The Demon Princes JumpChain.pdf")</f>
        <v>The Demon Princes JumpChain.pdf</v>
      </c>
      <c r="B3309" s="12" t="str">
        <f t="shared" si="274"/>
        <v>SB Drive/Complete jumps/Alphabetical - P, Q, R, S, T</v>
      </c>
    </row>
    <row r="3310">
      <c r="A3310" s="12" t="str">
        <f>HYPERLINK("https://drive.google.com/file/d/1Lz4FDc2NWf-V5c6RVxSVZ8iWdOweEqNe/view?usp=drivesdk","Star Control II JumpChain.pdf")</f>
        <v>Star Control II JumpChain.pdf</v>
      </c>
      <c r="B3310" s="12" t="str">
        <f t="shared" si="274"/>
        <v>SB Drive/Complete jumps/Alphabetical - P, Q, R, S, T</v>
      </c>
    </row>
    <row r="3311">
      <c r="A3311" s="12" t="str">
        <f>HYPERLINK("https://drive.google.com/file/d/1EiDoDtl2OgJh21Hluq-9JhqKNWEmvDFG/view?usp=drivesdk","Story of a Ruler 01 - Gatherer JumpChain.pdf")</f>
        <v>Story of a Ruler 01 - Gatherer JumpChain.pdf</v>
      </c>
      <c r="B3311" s="12" t="str">
        <f t="shared" si="274"/>
        <v>SB Drive/Complete jumps/Alphabetical - P, Q, R, S, T</v>
      </c>
    </row>
    <row r="3312">
      <c r="A3312" s="12" t="str">
        <f>HYPERLINK("https://drive.google.com/file/d/11UO3cz6E07rYqZ9uah_u4bFVKv4__4zH/view?usp=drivesdk","Riftbreaker JumpChain.pdf")</f>
        <v>Riftbreaker JumpChain.pdf</v>
      </c>
      <c r="B3312" s="12" t="str">
        <f t="shared" si="274"/>
        <v>SB Drive/Complete jumps/Alphabetical - P, Q, R, S, T</v>
      </c>
    </row>
    <row r="3313">
      <c r="A3313" s="12" t="str">
        <f>HYPERLINK("https://drive.google.com/file/d/129bwgyU9ZO9zIeVDNND6eLfLHSQwgwME/view?usp=drivesdk","Terminator JumpChain.pdf")</f>
        <v>Terminator JumpChain.pdf</v>
      </c>
      <c r="B3313" s="12" t="str">
        <f t="shared" si="274"/>
        <v>SB Drive/Complete jumps/Alphabetical - P, Q, R, S, T</v>
      </c>
    </row>
    <row r="3314">
      <c r="A3314" s="12" t="str">
        <f>HYPERLINK("https://docs.google.com/document/d/1O16MDyqQUWxv_8xG2sZ9KPm1ab4SYkPfX4C1Isb-GNQ/edit?usp=drivesdk","Stars Without Number JumpChain")</f>
        <v>Stars Without Number JumpChain</v>
      </c>
      <c r="B3314" s="12" t="str">
        <f t="shared" si="274"/>
        <v>SB Drive/Complete jumps/Alphabetical - P, Q, R, S, T</v>
      </c>
    </row>
    <row r="3315">
      <c r="A3315" s="12" t="str">
        <f>HYPERLINK("https://drive.google.com/file/d/1H2eUMHByrANqrZkL4iwlfVU7Vs9ChHve/view?usp=drivesdk","Planetary Annihilation JumpChain.pdf")</f>
        <v>Planetary Annihilation JumpChain.pdf</v>
      </c>
      <c r="B3315" s="12" t="str">
        <f t="shared" si="274"/>
        <v>SB Drive/Complete jumps/Alphabetical - P, Q, R, S, T</v>
      </c>
    </row>
    <row r="3316">
      <c r="A3316" s="12" t="str">
        <f>HYPERLINK("https://drive.google.com/file/d/1i6MP1Dbfrin_RIikfgFDIkntXgxfKpwn/view?usp=drivesdk","Rhythm Doctor JumpChain.pdf")</f>
        <v>Rhythm Doctor JumpChain.pdf</v>
      </c>
      <c r="B3316" s="12" t="str">
        <f t="shared" si="274"/>
        <v>SB Drive/Complete jumps/Alphabetical - P, Q, R, S, T</v>
      </c>
    </row>
    <row r="3317">
      <c r="A3317" s="12" t="str">
        <f>HYPERLINK("https://drive.google.com/file/d/1URKBshbtyxqzrqKeNngOM4tBK0f9oce9/view?usp=drivesdk","Tron System JumpChain.pdf")</f>
        <v>Tron System JumpChain.pdf</v>
      </c>
      <c r="B3317" s="12" t="str">
        <f t="shared" si="274"/>
        <v>SB Drive/Complete jumps/Alphabetical - P, Q, R, S, T</v>
      </c>
    </row>
    <row r="3318">
      <c r="A3318" s="12" t="str">
        <f>HYPERLINK("https://drive.google.com/file/d/1JAoFQmlK0wHDVAfhv-g2Duc27PcDJea7/view?usp=drivesdk","Trails of Cold Steel JumpChain.pdf")</f>
        <v>Trails of Cold Steel JumpChain.pdf</v>
      </c>
      <c r="B3318" s="12" t="str">
        <f t="shared" si="274"/>
        <v>SB Drive/Complete jumps/Alphabetical - P, Q, R, S, T</v>
      </c>
    </row>
    <row r="3319">
      <c r="A3319" s="12" t="str">
        <f>HYPERLINK("https://drive.google.com/file/d/1P7ToEQsjiNhOoc39MFfnNWVlt-8IHKqC/view?usp=drivesdk","Total Recall JumpChain.pdf")</f>
        <v>Total Recall JumpChain.pdf</v>
      </c>
      <c r="B3319" s="12" t="str">
        <f t="shared" si="274"/>
        <v>SB Drive/Complete jumps/Alphabetical - P, Q, R, S, T</v>
      </c>
    </row>
    <row r="3320">
      <c r="A3320" s="12" t="str">
        <f>HYPERLINK("https://drive.google.com/file/d/1EbZYtOArwGSnr0oQ5JA0j2GDoCG5PsDs/view?usp=drivesdk","Timespinner JumpChain.pdf")</f>
        <v>Timespinner JumpChain.pdf</v>
      </c>
      <c r="B3320" s="12" t="str">
        <f t="shared" si="274"/>
        <v>SB Drive/Complete jumps/Alphabetical - P, Q, R, S, T</v>
      </c>
    </row>
    <row r="3321">
      <c r="A3321" s="12" t="str">
        <f>HYPERLINK("https://drive.google.com/file/d/0By8NY-NO4-N5MjlGb3JhZFkzZHc/view?usp=drivesdk&amp;resourcekey=0-O2L-Zy28ymXj4Tj87n5ZYQ","The World God Only Knows JumpChain.pdf")</f>
        <v>The World God Only Knows JumpChain.pdf</v>
      </c>
      <c r="B3321" s="12" t="str">
        <f t="shared" si="274"/>
        <v>SB Drive/Complete jumps/Alphabetical - P, Q, R, S, T</v>
      </c>
    </row>
    <row r="3322">
      <c r="A3322" s="12" t="str">
        <f>HYPERLINK("https://drive.google.com/file/d/1EetPnZ25rx5aX3hhzS9NqfzsqL4Wi-dh/view?usp=drivesdk","The Witches of Eastwick JumpChain.pdf")</f>
        <v>The Witches of Eastwick JumpChain.pdf</v>
      </c>
      <c r="B3322" s="12" t="str">
        <f t="shared" si="274"/>
        <v>SB Drive/Complete jumps/Alphabetical - P, Q, R, S, T</v>
      </c>
    </row>
    <row r="3323">
      <c r="A3323" s="12" t="str">
        <f>HYPERLINK("https://drive.google.com/file/d/1mCwOrLYjIeRwjiiGijhM7O9qLr1pC5Jr/view?usp=drivesdk","The Witcher Novels JumpChain.pdf")</f>
        <v>The Witcher Novels JumpChain.pdf</v>
      </c>
      <c r="B3323" s="12" t="str">
        <f t="shared" si="274"/>
        <v>SB Drive/Complete jumps/Alphabetical - P, Q, R, S, T</v>
      </c>
    </row>
    <row r="3324">
      <c r="A3324" s="12" t="str">
        <f>HYPERLINK("https://drive.google.com/file/d/1YpYas3_H2-4N03DURj5ttTRJATj6yOMt/view?usp=drivesdk","The Secret of Kells JumpChain.pdf")</f>
        <v>The Secret of Kells JumpChain.pdf</v>
      </c>
      <c r="B3324" s="12" t="str">
        <f t="shared" si="274"/>
        <v>SB Drive/Complete jumps/Alphabetical - P, Q, R, S, T</v>
      </c>
    </row>
    <row r="3325">
      <c r="A3325" s="12" t="str">
        <f>HYPERLINK("https://drive.google.com/file/d/14m3OWoZiSwnFX3e-IpaZwC0ZW02AlPcP/view?usp=drivesdk","The Romance of The Three Kingdoms JumpChain.pdf")</f>
        <v>The Romance of The Three Kingdoms JumpChain.pdf</v>
      </c>
      <c r="B3325" s="12" t="str">
        <f t="shared" si="274"/>
        <v>SB Drive/Complete jumps/Alphabetical - P, Q, R, S, T</v>
      </c>
    </row>
    <row r="3326">
      <c r="A3326" s="12" t="str">
        <f>HYPERLINK("https://drive.google.com/file/d/1pQ3100PtsWGv92XBhj7c_AiQ507umILo/view?usp=drivesdk","The Reckoners JumpChain.pdf")</f>
        <v>The Reckoners JumpChain.pdf</v>
      </c>
      <c r="B3326" s="12" t="str">
        <f t="shared" si="274"/>
        <v>SB Drive/Complete jumps/Alphabetical - P, Q, R, S, T</v>
      </c>
    </row>
    <row r="3327">
      <c r="A3327" s="12" t="str">
        <f>HYPERLINK("https://drive.google.com/file/d/1YNNBDTeiq3BBaisvPB2uQWSvdXQr-Bf7/view?usp=drivesdk","The Newsroom JumpChain.pdf")</f>
        <v>The Newsroom JumpChain.pdf</v>
      </c>
      <c r="B3327" s="12" t="str">
        <f t="shared" si="274"/>
        <v>SB Drive/Complete jumps/Alphabetical - P, Q, R, S, T</v>
      </c>
    </row>
    <row r="3328">
      <c r="A3328" s="12" t="str">
        <f>HYPERLINK("https://drive.google.com/file/d/19kCF0f6cz8qjdFEBSdm0kdUuOiSzkngy/view?usp=drivesdk","The Magicians JumpChain.pdf")</f>
        <v>The Magicians JumpChain.pdf</v>
      </c>
      <c r="B3328" s="12" t="str">
        <f t="shared" si="274"/>
        <v>SB Drive/Complete jumps/Alphabetical - P, Q, R, S, T</v>
      </c>
    </row>
    <row r="3329">
      <c r="A3329" s="12" t="str">
        <f>HYPERLINK("https://drive.google.com/file/d/1wuOy6O6W6yXFxGWTJfV3LJPT01aCMIp1/view?usp=drivesdk","The Lord of the Rings: Twilight of the North JumpChain.pdf")</f>
        <v>The Lord of the Rings: Twilight of the North JumpChain.pdf</v>
      </c>
      <c r="B3329" s="12" t="str">
        <f t="shared" si="274"/>
        <v>SB Drive/Complete jumps/Alphabetical - P, Q, R, S, T</v>
      </c>
    </row>
    <row r="3330">
      <c r="A3330" s="12" t="str">
        <f>HYPERLINK("https://drive.google.com/file/d/0By8NY-NO4-N5YXlMM0NOdmlhNk0/view?usp=drivesdk&amp;resourcekey=0-7dGYOX7blKuGqaxf4-MJlA","The Librarian JumpChain.pdf")</f>
        <v>The Librarian JumpChain.pdf</v>
      </c>
      <c r="B3330" s="12" t="str">
        <f t="shared" si="274"/>
        <v>SB Drive/Complete jumps/Alphabetical - P, Q, R, S, T</v>
      </c>
    </row>
    <row r="3331">
      <c r="A3331" s="12" t="str">
        <f>HYPERLINK("https://drive.google.com/file/d/1mDDbpBeT7hdX6TiHk1vpDvse1bIrLVXp/view?usp=drivesdk","The Legend of Spyro JumpChain.pdf")</f>
        <v>The Legend of Spyro JumpChain.pdf</v>
      </c>
      <c r="B3331" s="12" t="str">
        <f t="shared" si="274"/>
        <v>SB Drive/Complete jumps/Alphabetical - P, Q, R, S, T</v>
      </c>
    </row>
    <row r="3332">
      <c r="A3332" s="12" t="str">
        <f>HYPERLINK("https://drive.google.com/file/d/1xLZzZzfhq7oGjQ1B5SZDIBjtbOwncEq4/view?usp=drivesdk","The Last Dragon JumpChain.pdf")</f>
        <v>The Last Dragon JumpChain.pdf</v>
      </c>
      <c r="B3332" s="12" t="str">
        <f t="shared" si="274"/>
        <v>SB Drive/Complete jumps/Alphabetical - P, Q, R, S, T</v>
      </c>
    </row>
    <row r="3333">
      <c r="A3333" s="12" t="str">
        <f>HYPERLINK("https://drive.google.com/file/d/0B_TqZboetruwVU8ydkJGY3RweGs/view?usp=drivesdk&amp;resourcekey=0-kZq4dIbMX2ujjY_1iDZnrQ","The Great Muppet Caper JumpChain.pdf")</f>
        <v>The Great Muppet Caper JumpChain.pdf</v>
      </c>
      <c r="B3333" s="12" t="str">
        <f t="shared" si="274"/>
        <v>SB Drive/Complete jumps/Alphabetical - P, Q, R, S, T</v>
      </c>
    </row>
    <row r="3334">
      <c r="A3334" s="12" t="str">
        <f>HYPERLINK("https://drive.google.com/file/d/1bNL0HouWxMqJFa2wuqMJJFn2SC8aRZhW/view?usp=drivesdk","The Good Place JumpChain.pdf")</f>
        <v>The Good Place JumpChain.pdf</v>
      </c>
      <c r="B3334" s="12" t="str">
        <f t="shared" si="274"/>
        <v>SB Drive/Complete jumps/Alphabetical - P, Q, R, S, T</v>
      </c>
    </row>
    <row r="3335">
      <c r="A3335" s="12" t="str">
        <f>HYPERLINK("https://drive.google.com/file/d/19-gN0v_HzjKa8SZoZri2MIOkbjdHeJ-V/view?usp=drivesdk","The Glass Scientists JumpChain.pdf")</f>
        <v>The Glass Scientists JumpChain.pdf</v>
      </c>
      <c r="B3335" s="12" t="str">
        <f t="shared" si="274"/>
        <v>SB Drive/Complete jumps/Alphabetical - P, Q, R, S, T</v>
      </c>
    </row>
    <row r="3336">
      <c r="A3336" s="12" t="str">
        <f>HYPERLINK("https://drive.google.com/file/d/0By8NY-NO4-N5NEJoRlNzUEw5cDQ/view?usp=drivesdk&amp;resourcekey=0-P2zdbHN9--8jAjoPDVYulQ","The Gamer JumpChain.pdf")</f>
        <v>The Gamer JumpChain.pdf</v>
      </c>
      <c r="B3336" s="12" t="str">
        <f t="shared" si="274"/>
        <v>SB Drive/Complete jumps/Alphabetical - P, Q, R, S, T</v>
      </c>
    </row>
    <row r="3337">
      <c r="A3337" s="12" t="str">
        <f>HYPERLINK("https://drive.google.com/file/d/1XlD1iUrJXAwtDOQxnFr9zPq2qLFcitah/view?usp=drivesdk","The Dragon Prince JumpChain.pdf")</f>
        <v>The Dragon Prince JumpChain.pdf</v>
      </c>
      <c r="B3337" s="12" t="str">
        <f t="shared" si="274"/>
        <v>SB Drive/Complete jumps/Alphabetical - P, Q, R, S, T</v>
      </c>
    </row>
    <row r="3338">
      <c r="A3338" s="12" t="str">
        <f>HYPERLINK("https://drive.google.com/file/d/1XmeSm_BwjbqlqYvyfLXY6HuY5RgUQZ2h/view?usp=drivesdk","The Count of Monte Cristo JumpChain.pdf")</f>
        <v>The Count of Monte Cristo JumpChain.pdf</v>
      </c>
      <c r="B3338" s="12" t="str">
        <f t="shared" si="274"/>
        <v>SB Drive/Complete jumps/Alphabetical - P, Q, R, S, T</v>
      </c>
    </row>
    <row r="3339">
      <c r="A3339" s="12" t="str">
        <f>HYPERLINK("https://drive.google.com/file/d/1AP6u7Q8EacFmiAZ0a2dvlpl8D1krK7zU/view?usp=drivesdk","The Boys JumpChain.pdf")</f>
        <v>The Boys JumpChain.pdf</v>
      </c>
      <c r="B3339" s="12" t="str">
        <f t="shared" si="274"/>
        <v>SB Drive/Complete jumps/Alphabetical - P, Q, R, S, T</v>
      </c>
    </row>
    <row r="3340">
      <c r="A3340" s="12" t="str">
        <f>HYPERLINK("https://drive.google.com/file/d/1rc9AUESiyOO9plOd4iHlgOclP-HhgiNd/view?usp=drivesdk","The Addams Family JumpChain.pdf")</f>
        <v>The Addams Family JumpChain.pdf</v>
      </c>
      <c r="B3340" s="12" t="str">
        <f t="shared" si="274"/>
        <v>SB Drive/Complete jumps/Alphabetical - P, Q, R, S, T</v>
      </c>
    </row>
    <row r="3341">
      <c r="A3341" s="12" t="str">
        <f>HYPERLINK("https://drive.google.com/file/d/1e1B6I7faZLT1O_jTSUtgSOYvZaBsBSeV/view?usp=drivesdk","The A-Team JumpChain.pdf")</f>
        <v>The A-Team JumpChain.pdf</v>
      </c>
      <c r="B3341" s="12" t="str">
        <f t="shared" si="274"/>
        <v>SB Drive/Complete jumps/Alphabetical - P, Q, R, S, T</v>
      </c>
    </row>
    <row r="3342">
      <c r="A3342" s="12" t="str">
        <f>HYPERLINK("https://drive.google.com/file/d/1FFrhb_UpOEyE3N8d9Jd6E8UGlJsD80LI/view?usp=drivesdk","Terraria - Journey's End JumpChain.pdf")</f>
        <v>Terraria - Journey's End JumpChain.pdf</v>
      </c>
      <c r="B3342" s="12" t="str">
        <f t="shared" si="274"/>
        <v>SB Drive/Complete jumps/Alphabetical - P, Q, R, S, T</v>
      </c>
    </row>
    <row r="3343">
      <c r="A3343" s="12" t="str">
        <f>HYPERLINK("https://drive.google.com/file/d/1obgB4zr29Gf0ULHF0pHeM_JYs4NdElnR/view?usp=drivesdk","Talisman Emperor (Mortal Dimension) JumpChain.pdf")</f>
        <v>Talisman Emperor (Mortal Dimension) JumpChain.pdf</v>
      </c>
      <c r="B3343" s="12" t="str">
        <f t="shared" si="274"/>
        <v>SB Drive/Complete jumps/Alphabetical - P, Q, R, S, T</v>
      </c>
    </row>
    <row r="3344">
      <c r="A3344" s="12" t="str">
        <f>HYPERLINK("https://drive.google.com/file/d/11YmH1caGD0bOvwAyLKVmdHu-Rcl154mM/view?usp=drivesdk","Tales of Berseria JumpChain.pdf")</f>
        <v>Tales of Berseria JumpChain.pdf</v>
      </c>
      <c r="B3344" s="12" t="str">
        <f t="shared" si="274"/>
        <v>SB Drive/Complete jumps/Alphabetical - P, Q, R, S, T</v>
      </c>
    </row>
    <row r="3345">
      <c r="A3345" s="12" t="str">
        <f>HYPERLINK("https://drive.google.com/file/d/1Z-nuLl0s9kzvwE-Bc81ga-INAon2YuhE/view?usp=drivesdk","Syndicate Wars JumpChain.pdf")</f>
        <v>Syndicate Wars JumpChain.pdf</v>
      </c>
      <c r="B3345" s="12" t="str">
        <f t="shared" si="274"/>
        <v>SB Drive/Complete jumps/Alphabetical - P, Q, R, S, T</v>
      </c>
    </row>
    <row r="3346">
      <c r="A3346" s="12" t="str">
        <f>HYPERLINK("https://drive.google.com/file/d/19Y11lS9OQr0UM9zJPp_705mlRw1-7_3q/view?usp=drivesdk","Surviving Mars JumpChain.pdf")</f>
        <v>Surviving Mars JumpChain.pdf</v>
      </c>
      <c r="B3346" s="12" t="str">
        <f t="shared" si="274"/>
        <v>SB Drive/Complete jumps/Alphabetical - P, Q, R, S, T</v>
      </c>
    </row>
    <row r="3347">
      <c r="A3347" s="12" t="str">
        <f>HYPERLINK("https://drive.google.com/file/d/1bEUp6oYhHNySTONaHehvEsAhUeEBWfFf/view?usp=drivesdk","Summon Night: Swordcraft Story JumpChain.pdf")</f>
        <v>Summon Night: Swordcraft Story JumpChain.pdf</v>
      </c>
      <c r="B3347" s="12" t="str">
        <f t="shared" si="274"/>
        <v>SB Drive/Complete jumps/Alphabetical - P, Q, R, S, T</v>
      </c>
    </row>
    <row r="3348">
      <c r="A3348" s="12" t="str">
        <f>HYPERLINK("https://drive.google.com/file/d/1Qr1sWHiZDo_HZGrhRD4SWxOKZ9BmAIS5/view?usp=drivesdk","Stellaris JumpChain.pdf")</f>
        <v>Stellaris JumpChain.pdf</v>
      </c>
      <c r="B3348" s="12" t="str">
        <f t="shared" si="274"/>
        <v>SB Drive/Complete jumps/Alphabetical - P, Q, R, S, T</v>
      </c>
    </row>
    <row r="3349">
      <c r="A3349" s="12" t="str">
        <f>HYPERLINK("https://drive.google.com/file/d/1_Zb_vxNqDA9_xWTd7r7DhihT7vDyovUe/view?usp=drivesdk","Stellar Transformation Part 1 [Mortals] JumpChain.pdf")</f>
        <v>Stellar Transformation Part 1 [Mortals] JumpChain.pdf</v>
      </c>
      <c r="B3349" s="12" t="str">
        <f t="shared" si="274"/>
        <v>SB Drive/Complete jumps/Alphabetical - P, Q, R, S, T</v>
      </c>
    </row>
    <row r="3350">
      <c r="A3350" s="12" t="str">
        <f>HYPERLINK("https://drive.google.com/file/d/16jquGIagL8z1STKFCUV2KU5v0yZLGeiN/view?usp=drivesdk","Steins;Gate JumpChain.pdf")</f>
        <v>Steins;Gate JumpChain.pdf</v>
      </c>
      <c r="B3350" s="12" t="str">
        <f t="shared" si="274"/>
        <v>SB Drive/Complete jumps/Alphabetical - P, Q, R, S, T</v>
      </c>
    </row>
    <row r="3351">
      <c r="A3351" s="12" t="str">
        <f>HYPERLINK("https://drive.google.com/file/d/1JkCKeltE6jdJJ7pQGG2EZGqd_p8Qn1Ix/view?usp=drivesdk","Stargate Infinity JumpChain.pdf")</f>
        <v>Stargate Infinity JumpChain.pdf</v>
      </c>
      <c r="B3351" s="12" t="str">
        <f t="shared" si="274"/>
        <v>SB Drive/Complete jumps/Alphabetical - P, Q, R, S, T</v>
      </c>
    </row>
    <row r="3352">
      <c r="A3352" s="12" t="str">
        <f>HYPERLINK("https://drive.google.com/file/d/1jqcE26us5ZJToRrT_8Lwa11SkxpHjfYv/view?usp=drivesdk","Starfinder JumpChain.pdf")</f>
        <v>Starfinder JumpChain.pdf</v>
      </c>
      <c r="B3352" s="12" t="str">
        <f t="shared" si="274"/>
        <v>SB Drive/Complete jumps/Alphabetical - P, Q, R, S, T</v>
      </c>
    </row>
    <row r="3353">
      <c r="A3353" s="12" t="str">
        <f>HYPERLINK("https://drive.google.com/file/d/1dMua6gzZ_QrzDzh1n36bwFwKHmxaedOh/view?usp=drivesdk","Starbound JumpChain.pdf")</f>
        <v>Starbound JumpChain.pdf</v>
      </c>
      <c r="B3353" s="12" t="str">
        <f t="shared" si="274"/>
        <v>SB Drive/Complete jumps/Alphabetical - P, Q, R, S, T</v>
      </c>
    </row>
    <row r="3354">
      <c r="A3354" s="12" t="str">
        <f>HYPERLINK("https://drive.google.com/file/d/1AXI1FOWZMsUXLicWuRQX_9DGObg8j5Dj/view?usp=drivesdk","Spirit Island JumpChain.pdf")</f>
        <v>Spirit Island JumpChain.pdf</v>
      </c>
      <c r="B3354" s="12" t="str">
        <f t="shared" si="274"/>
        <v>SB Drive/Complete jumps/Alphabetical - P, Q, R, S, T</v>
      </c>
    </row>
    <row r="3355">
      <c r="A3355" s="12" t="str">
        <f>HYPERLINK("https://drive.google.com/file/d/1ddYOvLNjy8ipdy-sp0OAOp4-QirpsFie/view?usp=drivesdk","Spaceballs: The Jumpchain.pdf")</f>
        <v>Spaceballs: The Jumpchain.pdf</v>
      </c>
      <c r="B3355" s="12" t="str">
        <f t="shared" si="274"/>
        <v>SB Drive/Complete jumps/Alphabetical - P, Q, R, S, T</v>
      </c>
    </row>
    <row r="3356">
      <c r="A3356" s="12" t="str">
        <f>HYPERLINK("https://drive.google.com/file/d/1JFLDJ98b-l0ZbxQqr3hJLrmySmxkncN6/view?usp=drivesdk","Song of the Sea JumpChain.pdf")</f>
        <v>Song of the Sea JumpChain.pdf</v>
      </c>
      <c r="B3356" s="12" t="str">
        <f t="shared" si="274"/>
        <v>SB Drive/Complete jumps/Alphabetical - P, Q, R, S, T</v>
      </c>
    </row>
    <row r="3357">
      <c r="A3357" s="12" t="str">
        <f>HYPERLINK("https://drive.google.com/file/d/1Rkm4RgJr9Ro7LO-l_fdPEfq6gC-eonBM/view?usp=drivesdk","SimCity 4 JumpChain.pdf")</f>
        <v>SimCity 4 JumpChain.pdf</v>
      </c>
      <c r="B3357" s="12" t="str">
        <f t="shared" si="274"/>
        <v>SB Drive/Complete jumps/Alphabetical - P, Q, R, S, T</v>
      </c>
    </row>
    <row r="3358">
      <c r="A3358" s="12" t="str">
        <f>HYPERLINK("https://drive.google.com/file/d/1jpB4K-3JzB8waawShiHjYPxA1dUMDIUs/view?usp=drivesdk","Short Circuit JumpChain.pdf")</f>
        <v>Short Circuit JumpChain.pdf</v>
      </c>
      <c r="B3358" s="12" t="str">
        <f t="shared" si="274"/>
        <v>SB Drive/Complete jumps/Alphabetical - P, Q, R, S, T</v>
      </c>
    </row>
    <row r="3359">
      <c r="A3359" s="12" t="str">
        <f>HYPERLINK("https://drive.google.com/file/d/1-raARqzQk5YqdAcgGdia8OnhPXAGXsSs/view?usp=drivesdk","Sherlock JumpChain.pdf")</f>
        <v>Sherlock JumpChain.pdf</v>
      </c>
      <c r="B3359" s="12" t="str">
        <f t="shared" si="274"/>
        <v>SB Drive/Complete jumps/Alphabetical - P, Q, R, S, T</v>
      </c>
    </row>
    <row r="3360">
      <c r="A3360" s="12" t="str">
        <f>HYPERLINK("https://drive.google.com/file/d/1M74GiIHQ8ieaOAK_-glB-8ZXAKPVJlGV/view?usp=drivesdk","Shakugan No Shana JumpChain.pdf")</f>
        <v>Shakugan No Shana JumpChain.pdf</v>
      </c>
      <c r="B3360" s="12" t="str">
        <f t="shared" si="274"/>
        <v>SB Drive/Complete jumps/Alphabetical - P, Q, R, S, T</v>
      </c>
    </row>
    <row r="3361">
      <c r="A3361" s="12" t="str">
        <f>HYPERLINK("https://drive.google.com/file/d/0By8NY-NO4-N5aV9pTW5xVGk1b0k/view?usp=drivesdk&amp;resourcekey=0-QAHlyJe8mqzLsFsXmucsVQ","Sesame Street JumpChain.pdf")</f>
        <v>Sesame Street JumpChain.pdf</v>
      </c>
      <c r="B3361" s="12" t="str">
        <f t="shared" si="274"/>
        <v>SB Drive/Complete jumps/Alphabetical - P, Q, R, S, T</v>
      </c>
    </row>
    <row r="3362">
      <c r="A3362" s="12" t="str">
        <f>HYPERLINK("https://drive.google.com/file/d/1fPHcO6PvOGCvmFTnnXi3mKDdFT3p1n32/view?usp=drivesdk","Secret Texts Trilogy JumpChain.pdf")</f>
        <v>Secret Texts Trilogy JumpChain.pdf</v>
      </c>
      <c r="B3362" s="12" t="str">
        <f t="shared" si="274"/>
        <v>SB Drive/Complete jumps/Alphabetical - P, Q, R, S, T</v>
      </c>
    </row>
    <row r="3363">
      <c r="A3363" s="12" t="str">
        <f>HYPERLINK("https://drive.google.com/file/d/1l3GrvI0Img_nIrLnaEdMevYOa2DLdGzJ/view?usp=drivesdk","Saved By The Bell JumpChain.pdf")</f>
        <v>Saved By The Bell JumpChain.pdf</v>
      </c>
      <c r="B3363" s="12" t="str">
        <f t="shared" si="274"/>
        <v>SB Drive/Complete jumps/Alphabetical - P, Q, R, S, T</v>
      </c>
    </row>
    <row r="3364">
      <c r="A3364" s="12" t="str">
        <f>HYPERLINK("https://drive.google.com/file/d/16SfkWiwzyRqkMBJipJzNhWaT6IZ-UnMi/view?usp=drivesdk","Saga Frontier JumpChain.pdf")</f>
        <v>Saga Frontier JumpChain.pdf</v>
      </c>
      <c r="B3364" s="12" t="str">
        <f t="shared" si="274"/>
        <v>SB Drive/Complete jumps/Alphabetical - P, Q, R, S, T</v>
      </c>
    </row>
    <row r="3365">
      <c r="A3365" s="12" t="str">
        <f>HYPERLINK("https://drive.google.com/file/d/1PcCHC68Ewbm-ObRTwroqlBGxe8ZWpAD5/view?usp=drivesdk","Safehold JumpChain.pdf")</f>
        <v>Safehold JumpChain.pdf</v>
      </c>
      <c r="B3365" s="12" t="str">
        <f t="shared" si="274"/>
        <v>SB Drive/Complete jumps/Alphabetical - P, Q, R, S, T</v>
      </c>
    </row>
    <row r="3366">
      <c r="A3366" s="12" t="str">
        <f>HYPERLINK("https://drive.google.com/file/d/1xAWmPceZkaT3lOQ2c8T3g94TOHoMMXbj/view?usp=drivesdk","s-CRY-ed JumpChain.pdf")</f>
        <v>s-CRY-ed JumpChain.pdf</v>
      </c>
      <c r="B3366" s="12" t="str">
        <f t="shared" si="274"/>
        <v>SB Drive/Complete jumps/Alphabetical - P, Q, R, S, T</v>
      </c>
    </row>
    <row r="3367">
      <c r="A3367" s="12" t="str">
        <f>HYPERLINK("https://drive.google.com/file/d/1KbX9PZ053fvxjCkNwxgKDVoN1q3x41f9/view?usp=drivesdk","Runescape JumpChain.pdf")</f>
        <v>Runescape JumpChain.pdf</v>
      </c>
      <c r="B3367" s="12" t="str">
        <f t="shared" si="274"/>
        <v>SB Drive/Complete jumps/Alphabetical - P, Q, R, S, T</v>
      </c>
    </row>
    <row r="3368">
      <c r="A3368" s="12" t="str">
        <f>HYPERLINK("https://drive.google.com/file/d/1ff5j77ghGpmiE6f8u-QDsKr9rgfyoHjg/view?usp=drivesdk","Runepunk JumpChain.pdf")</f>
        <v>Runepunk JumpChain.pdf</v>
      </c>
      <c r="B3368" s="12" t="str">
        <f t="shared" si="274"/>
        <v>SB Drive/Complete jumps/Alphabetical - P, Q, R, S, T</v>
      </c>
    </row>
    <row r="3369">
      <c r="A3369" s="12" t="str">
        <f>HYPERLINK("https://drive.google.com/file/d/1wnsJaKIZDmQ_ZV7rlO4jjTuCodV7oaPG/view?usp=drivesdk","Rise Of Legends JumpChain.pdf")</f>
        <v>Rise Of Legends JumpChain.pdf</v>
      </c>
      <c r="B3369" s="12" t="str">
        <f t="shared" si="274"/>
        <v>SB Drive/Complete jumps/Alphabetical - P, Q, R, S, T</v>
      </c>
    </row>
    <row r="3370">
      <c r="A3370" s="12" t="str">
        <f>HYPERLINK("https://drive.google.com/file/d/19YEWt8FWwDOPumhia_DP0GieSGMf_oS3/view?usp=drivesdk","Ring of Fire (1632) Series JumpChain.pdf")</f>
        <v>Ring of Fire (1632) Series JumpChain.pdf</v>
      </c>
      <c r="B3370" s="12" t="str">
        <f t="shared" si="274"/>
        <v>SB Drive/Complete jumps/Alphabetical - P, Q, R, S, T</v>
      </c>
    </row>
    <row r="3371">
      <c r="A3371" s="12" t="str">
        <f>HYPERLINK("https://drive.google.com/file/d/1XdOzhre9UizoZTe5SoxHCNECN7TcdT7T/view?usp=drivesdk","Rick And Morty JumpChain (SB version).pdf")</f>
        <v>Rick And Morty JumpChain (SB version).pdf</v>
      </c>
      <c r="B3371" s="12" t="str">
        <f t="shared" si="274"/>
        <v>SB Drive/Complete jumps/Alphabetical - P, Q, R, S, T</v>
      </c>
    </row>
    <row r="3372">
      <c r="A3372" s="12" t="str">
        <f>HYPERLINK("https://drive.google.com/file/d/1VFds0dfDZK_e7-vHs9MufQEtvdA0PWZQ/view?usp=drivesdk","Revolution Drive JumpChain.pdf")</f>
        <v>Revolution Drive JumpChain.pdf</v>
      </c>
      <c r="B3372" s="12" t="str">
        <f t="shared" si="274"/>
        <v>SB Drive/Complete jumps/Alphabetical - P, Q, R, S, T</v>
      </c>
    </row>
    <row r="3373">
      <c r="A3373" s="12" t="str">
        <f>HYPERLINK("https://drive.google.com/file/d/1Mft-mJXK81AH3ybZ2YtHIEEHmXYSoE4l/view?usp=drivesdk","Reincarnator JumpChain.pdf")</f>
        <v>Reincarnator JumpChain.pdf</v>
      </c>
      <c r="B3373" s="12" t="str">
        <f t="shared" si="274"/>
        <v>SB Drive/Complete jumps/Alphabetical - P, Q, R, S, T</v>
      </c>
    </row>
    <row r="3374">
      <c r="A3374" s="12" t="str">
        <f>HYPERLINK("https://drive.google.com/file/d/1R_B4hlyGDTBtTx3xITYuDU3rxL-Xdc95/view?usp=drivesdk","Rebirth of the Thief who Roamed the World JumpChain.pdf")</f>
        <v>Rebirth of the Thief who Roamed the World JumpChain.pdf</v>
      </c>
      <c r="B3374" s="12" t="str">
        <f t="shared" si="274"/>
        <v>SB Drive/Complete jumps/Alphabetical - P, Q, R, S, T</v>
      </c>
    </row>
    <row r="3375">
      <c r="A3375" s="12" t="str">
        <f>HYPERLINK("https://drive.google.com/file/d/1-lUGNTzl7cwrToJijqTvJNBjAFo42uU6/view?usp=drivesdk","Real Genius JumpChain.pdf")</f>
        <v>Real Genius JumpChain.pdf</v>
      </c>
      <c r="B3375" s="12" t="str">
        <f t="shared" si="274"/>
        <v>SB Drive/Complete jumps/Alphabetical - P, Q, R, S, T</v>
      </c>
    </row>
    <row r="3376">
      <c r="A3376" s="12" t="str">
        <f>HYPERLINK("https://drive.google.com/file/d/1Y8DpkCDaOq2BWNA7uhWkni62aiXR5hKn/view?usp=drivesdk","Ready Player One JumpChain.pdf")</f>
        <v>Ready Player One JumpChain.pdf</v>
      </c>
      <c r="B3376" s="12" t="str">
        <f t="shared" si="274"/>
        <v>SB Drive/Complete jumps/Alphabetical - P, Q, R, S, T</v>
      </c>
    </row>
    <row r="3377">
      <c r="A3377" s="12" t="str">
        <f>HYPERLINK("https://drive.google.com/file/d/11GOPmlkCtuRQHc5qIXWgXSuUA8TsbrRu/view?usp=drivesdk","Re:Monster JumpChain.pdf")</f>
        <v>Re:Monster JumpChain.pdf</v>
      </c>
      <c r="B3377" s="12" t="str">
        <f t="shared" si="274"/>
        <v>SB Drive/Complete jumps/Alphabetical - P, Q, R, S, T</v>
      </c>
    </row>
    <row r="3378">
      <c r="A3378" s="12" t="str">
        <f>HYPERLINK("https://drive.google.com/file/d/1PuAugZGl4YnoC-E76OI8WshXHZAVAXJJ/view?usp=drivesdk","Rave Master JumpChain.pdf")</f>
        <v>Rave Master JumpChain.pdf</v>
      </c>
      <c r="B3378" s="12" t="str">
        <f t="shared" si="274"/>
        <v>SB Drive/Complete jumps/Alphabetical - P, Q, R, S, T</v>
      </c>
    </row>
    <row r="3379">
      <c r="A3379" s="12" t="str">
        <f>HYPERLINK("https://drive.google.com/file/d/1dnCSxbyWZW_RvO_c7U9ad1i3NcYZ_WRk/view?usp=drivesdk","Push JumpChain.pdf")</f>
        <v>Push JumpChain.pdf</v>
      </c>
      <c r="B3379" s="12" t="str">
        <f t="shared" si="274"/>
        <v>SB Drive/Complete jumps/Alphabetical - P, Q, R, S, T</v>
      </c>
    </row>
    <row r="3380">
      <c r="A3380" s="12" t="str">
        <f>HYPERLINK("https://drive.google.com/file/d/13HwiZ5HyXDzwF2w89jwbsJWHrCZkxiGu/view?usp=drivesdk","Psyren JumpChain.pdf")</f>
        <v>Psyren JumpChain.pdf</v>
      </c>
      <c r="B3380" s="12" t="str">
        <f t="shared" si="274"/>
        <v>SB Drive/Complete jumps/Alphabetical - P, Q, R, S, T</v>
      </c>
    </row>
    <row r="3381">
      <c r="A3381" s="12" t="str">
        <f>HYPERLINK("https://drive.google.com/file/d/1ZrLZeRpQaOPUQPdgPn2ezFhxSQpabfUQ/view?usp=drivesdk","PS238 JumpChain.pdf")</f>
        <v>PS238 JumpChain.pdf</v>
      </c>
      <c r="B3381" s="12" t="str">
        <f t="shared" si="274"/>
        <v>SB Drive/Complete jumps/Alphabetical - P, Q, R, S, T</v>
      </c>
    </row>
    <row r="3382">
      <c r="A3382" s="12" t="str">
        <f>HYPERLINK("https://drive.google.com/file/d/1WqLgnKshBrBrtZif3dNeaOlpEg1snkhM/view?usp=drivesdk","Practical Magic JumpChain.pdf")</f>
        <v>Practical Magic JumpChain.pdf</v>
      </c>
      <c r="B3382" s="12" t="str">
        <f t="shared" si="274"/>
        <v>SB Drive/Complete jumps/Alphabetical - P, Q, R, S, T</v>
      </c>
    </row>
    <row r="3383">
      <c r="A3383" s="12" t="str">
        <f>HYPERLINK("https://drive.google.com/file/d/1YMybydqqKmt-K1hI53sCwHUjE1V9m5To/view?usp=drivesdk","Plants Vs Zombies JumpChain.pdf")</f>
        <v>Plants Vs Zombies JumpChain.pdf</v>
      </c>
      <c r="B3383" s="12" t="str">
        <f t="shared" si="274"/>
        <v>SB Drive/Complete jumps/Alphabetical - P, Q, R, S, T</v>
      </c>
    </row>
    <row r="3384">
      <c r="A3384" s="12" t="str">
        <f>HYPERLINK("https://drive.google.com/file/d/1rvTJPVnLBdpnEXI30GYBOYfpuXW6ctPb/view?usp=drivesdk","Phineas and Ferb JumpChain.pdf")</f>
        <v>Phineas and Ferb JumpChain.pdf</v>
      </c>
      <c r="B3384" s="12" t="str">
        <f t="shared" si="274"/>
        <v>SB Drive/Complete jumps/Alphabetical - P, Q, R, S, T</v>
      </c>
    </row>
    <row r="3385">
      <c r="A3385" s="12" t="str">
        <f>HYPERLINK("https://drive.google.com/file/d/1ye7KSABekhS2RM-0UzD6VJX6e2NM8dsN/view?usp=drivesdk","Persona 4 JumpChain.pdf")</f>
        <v>Persona 4 JumpChain.pdf</v>
      </c>
      <c r="B3385" s="12" t="str">
        <f t="shared" si="274"/>
        <v>SB Drive/Complete jumps/Alphabetical - P, Q, R, S, T</v>
      </c>
    </row>
    <row r="3386">
      <c r="A3386" s="12" t="str">
        <f>HYPERLINK("https://drive.google.com/file/d/1jzrst_Ots68j_fTTGziovpLczyJJQhxm/view?usp=drivesdk","Pathfinder Kingmaker JumpChain.pdf")</f>
        <v>Pathfinder Kingmaker JumpChain.pdf</v>
      </c>
      <c r="B3386" s="12" t="str">
        <f t="shared" si="274"/>
        <v>SB Drive/Complete jumps/Alphabetical - P, Q, R, S, T</v>
      </c>
    </row>
    <row r="3387">
      <c r="A3387" s="12" t="str">
        <f>HYPERLINK("https://drive.google.com/file/d/1IaFdJ0H6SxX34n80We3JKys2HvzQL48A/view?usp=drivesdk","Parking Wars JumpChain.pdf")</f>
        <v>Parking Wars JumpChain.pdf</v>
      </c>
      <c r="B3387" s="12" t="str">
        <f t="shared" si="274"/>
        <v>SB Drive/Complete jumps/Alphabetical - P, Q, R, S, T</v>
      </c>
    </row>
    <row r="3388">
      <c r="A3388" s="12" t="str">
        <f>HYPERLINK("https://drive.google.com/file/d/1X3QVpXC5r8e7JmEK5XUI4gEbAYv6ISvr/view?usp=drivesdk","Parasite Eve JumpChain.pdf")</f>
        <v>Parasite Eve JumpChain.pdf</v>
      </c>
      <c r="B3388" s="12" t="str">
        <f t="shared" si="274"/>
        <v>SB Drive/Complete jumps/Alphabetical - P, Q, R, S, T</v>
      </c>
    </row>
    <row r="3389">
      <c r="A3389" s="12" t="str">
        <f>HYPERLINK("https://drive.google.com/file/d/1z6E1O1C0fln4Oo4ywKzWviaVQoE_enR6/view?usp=drivesdk","Paragons JumpChain.pdf")</f>
        <v>Paragons JumpChain.pdf</v>
      </c>
      <c r="B3389" s="12" t="str">
        <f t="shared" si="274"/>
        <v>SB Drive/Complete jumps/Alphabetical - P, Q, R, S, T</v>
      </c>
    </row>
    <row r="3390">
      <c r="A3390" s="12" t="str">
        <f>HYPERLINK("https://drive.google.com/file/d/18D-T0xMyaWicnspNA0KoFOrzrPBal81m/view?usp=drivesdk","Paladin of Shadows JumpChain.pdf")</f>
        <v>Paladin of Shadows JumpChain.pdf</v>
      </c>
      <c r="B3390" s="12" t="str">
        <f t="shared" si="274"/>
        <v>SB Drive/Complete jumps/Alphabetical - P, Q, R, S, T</v>
      </c>
    </row>
    <row r="3391">
      <c r="A3391" s="12" t="str">
        <f>HYPERLINK("https://drive.google.com/file/d/1K7v23Sdyd67ZpBg9alsSHKfudfr8xzgv/view?usp=drivesdk","Super Robot Wars: International Era JumpChain.pdf")</f>
        <v>Super Robot Wars: International Era JumpChain.pdf</v>
      </c>
      <c r="B3391" s="12" t="str">
        <f t="shared" si="274"/>
        <v>SB Drive/Complete jumps/Alphabetical - P, Q, R, S, T</v>
      </c>
    </row>
    <row r="3392">
      <c r="A3392" s="12" t="str">
        <f>HYPERLINK("https://drive.google.com/file/d/0By8NY-NO4-N5N055b0FjcEZWdTQ/view?usp=drivesdk&amp;resourcekey=0-z-sruCrbV4yGtVQ5Xxm5gQ","SyFy Combined Continuity JumpChain.pdf")</f>
        <v>SyFy Combined Continuity JumpChain.pdf</v>
      </c>
      <c r="B3392" s="12" t="str">
        <f t="shared" si="274"/>
        <v>SB Drive/Complete jumps/Alphabetical - P, Q, R, S, T</v>
      </c>
    </row>
    <row r="3393">
      <c r="A3393" s="12" t="str">
        <f>HYPERLINK("https://drive.google.com/file/d/10CKWtW8O9lq3Yrv4r_mxvXk75KhQtTDU/view?usp=drivesdk","Trials of Mana JumpChain.pdf")</f>
        <v>Trials of Mana JumpChain.pdf</v>
      </c>
      <c r="B3393" s="12" t="str">
        <f t="shared" si="274"/>
        <v>SB Drive/Complete jumps/Alphabetical - P, Q, R, S, T</v>
      </c>
    </row>
    <row r="3394">
      <c r="A3394" s="12" t="str">
        <f>HYPERLINK("https://drive.google.com/file/d/1AZ5eC4tMlyEFPGgXtPxuKitV2P2Ij2up/view?usp=drivesdk","Tera JumpChain.pdf")</f>
        <v>Tera JumpChain.pdf</v>
      </c>
      <c r="B3394" s="12" t="str">
        <f t="shared" si="274"/>
        <v>SB Drive/Complete jumps/Alphabetical - P, Q, R, S, T</v>
      </c>
    </row>
    <row r="3395">
      <c r="A3395" s="12" t="str">
        <f>HYPERLINK("https://drive.google.com/file/d/1lAoZHtdnfv4xLpeGUnej99-ImpYtBCPX/view?usp=drivesdk","Science and Futurism with Isaac Arthur JumpChain.pdf")</f>
        <v>Science and Futurism with Isaac Arthur JumpChain.pdf</v>
      </c>
      <c r="B3395" s="12" t="str">
        <f t="shared" si="274"/>
        <v>SB Drive/Complete jumps/Alphabetical - P, Q, R, S, T</v>
      </c>
    </row>
    <row r="3396">
      <c r="A3396" s="12" t="str">
        <f>HYPERLINK("https://drive.google.com/file/d/1UN_0mgHXcuOz0p_6nwEA56FihUbR_47W/view?usp=drivesdk","Renegade Immortal JumpChain.pdf")</f>
        <v>Renegade Immortal JumpChain.pdf</v>
      </c>
      <c r="B3396" s="12" t="str">
        <f t="shared" si="274"/>
        <v>SB Drive/Complete jumps/Alphabetical - P, Q, R, S, T</v>
      </c>
    </row>
    <row r="3397">
      <c r="A3397" s="12" t="str">
        <f>HYPERLINK("https://drive.google.com/file/d/1_llsbVuMfzQi7Y1zByzs6Qnz-75MJnlC/view?usp=drivesdk","Tetsuwan Birdy Decode JumpChain.pdf")</f>
        <v>Tetsuwan Birdy Decode JumpChain.pdf</v>
      </c>
      <c r="B3397" s="12" t="str">
        <f t="shared" si="274"/>
        <v>SB Drive/Complete jumps/Alphabetical - P, Q, R, S, T</v>
      </c>
    </row>
    <row r="3398">
      <c r="A3398" s="12" t="str">
        <f>HYPERLINK("https://drive.google.com/file/d/12PAb_yTa58itepTm_dPQW8kTK1xDk_30/view?usp=drivesdk","Schlock Mercenary JumpChain.pdf")</f>
        <v>Schlock Mercenary JumpChain.pdf</v>
      </c>
      <c r="B3398" s="12" t="str">
        <f t="shared" si="274"/>
        <v>SB Drive/Complete jumps/Alphabetical - P, Q, R, S, T</v>
      </c>
    </row>
    <row r="3399">
      <c r="A3399" s="12" t="str">
        <f>HYPERLINK("https://drive.google.com/file/d/10rMtZDdJj3cV5M3GynBmRgIYLUakpY_A/view?usp=drivesdk","This Bites! JumpChain.pdf")</f>
        <v>This Bites! JumpChain.pdf</v>
      </c>
      <c r="B3399" s="12" t="str">
        <f t="shared" si="274"/>
        <v>SB Drive/Complete jumps/Alphabetical - P, Q, R, S, T</v>
      </c>
    </row>
    <row r="3400">
      <c r="A3400" s="12" t="str">
        <f>HYPERLINK("https://drive.google.com/file/d/1RvMrY_h6aXXMcznSdKR5hUdg0otEPB9I/view?usp=drivesdk","Mindustry JumpChain.pdf")</f>
        <v>Mindustry JumpChain.pdf</v>
      </c>
      <c r="B3400" s="12" t="str">
        <f t="shared" ref="B3400:B3454" si="275">HYPERLINK("https://drive.google.com/drive/folders/1ZR8_t6cyduSzoWGkaYprtOh_zrpNevrG","SB Drive/Complete jumps/Alphabetical - K, L, M, N, O")</f>
        <v>SB Drive/Complete jumps/Alphabetical - K, L, M, N, O</v>
      </c>
    </row>
    <row r="3401">
      <c r="A3401" s="12" t="str">
        <f>HYPERLINK("https://drive.google.com/file/d/1zfCY2waR0F3Mily5YDOmbIPK6L8j3X48/view?usp=drivesdk","Macross Frontier JumpChain.pdf")</f>
        <v>Macross Frontier JumpChain.pdf</v>
      </c>
      <c r="B3401" s="12" t="str">
        <f t="shared" si="275"/>
        <v>SB Drive/Complete jumps/Alphabetical - K, L, M, N, O</v>
      </c>
    </row>
    <row r="3402">
      <c r="A3402" s="12" t="str">
        <f>HYPERLINK("https://drive.google.com/file/d/1ssGG3GPX6twZGKdZHdZf2pS2clYoqZ3h/view?usp=drivesdk","Legion of Liberty JumpChain.pdf")</f>
        <v>Legion of Liberty JumpChain.pdf</v>
      </c>
      <c r="B3402" s="12" t="str">
        <f t="shared" si="275"/>
        <v>SB Drive/Complete jumps/Alphabetical - K, L, M, N, O</v>
      </c>
    </row>
    <row r="3403">
      <c r="A3403" s="12" t="str">
        <f>HYPERLINK("https://drive.google.com/file/d/1GmeIjcO8-ecVY-9SAqEf6atZSQf8lRL0/view?usp=drivesdk","Mystical Ninja JumpChain.pdf")</f>
        <v>Mystical Ninja JumpChain.pdf</v>
      </c>
      <c r="B3403" s="12" t="str">
        <f t="shared" si="275"/>
        <v>SB Drive/Complete jumps/Alphabetical - K, L, M, N, O</v>
      </c>
    </row>
    <row r="3404">
      <c r="A3404" s="12" t="str">
        <f>HYPERLINK("https://drive.google.com/file/d/1aKBnr7_mkHN83z8V1LcviNAThAcGGQZC/view?usp=drivesdk","My Best Friend is a Vampire JumpChain.pdf")</f>
        <v>My Best Friend is a Vampire JumpChain.pdf</v>
      </c>
      <c r="B3404" s="12" t="str">
        <f t="shared" si="275"/>
        <v>SB Drive/Complete jumps/Alphabetical - K, L, M, N, O</v>
      </c>
    </row>
    <row r="3405">
      <c r="A3405" s="12" t="str">
        <f>HYPERLINK("https://drive.google.com/file/d/19XnIg6x4rAok5DZoLb2E4BgYZrFhCZx_/view?usp=drivesdk","Library of Ruina JumpChain.pdf")</f>
        <v>Library of Ruina JumpChain.pdf</v>
      </c>
      <c r="B3405" s="12" t="str">
        <f t="shared" si="275"/>
        <v>SB Drive/Complete jumps/Alphabetical - K, L, M, N, O</v>
      </c>
    </row>
    <row r="3406">
      <c r="A3406" s="12" t="str">
        <f>HYPERLINK("https://drive.google.com/file/d/1ykChcYUJA0mEf3_zhnAjtHdkjNdeAzXR/view?usp=drivesdk","Megaman Star Force JumpChain.pdf")</f>
        <v>Megaman Star Force JumpChain.pdf</v>
      </c>
      <c r="B3406" s="12" t="str">
        <f t="shared" si="275"/>
        <v>SB Drive/Complete jumps/Alphabetical - K, L, M, N, O</v>
      </c>
    </row>
    <row r="3407">
      <c r="A3407" s="12" t="str">
        <f>HYPERLINK("https://drive.google.com/file/d/1qaFv5BX-nua8do4pBXqpHsJIckHuFsE8/view?usp=drivesdk","Maneater JumpChain.pdf")</f>
        <v>Maneater JumpChain.pdf</v>
      </c>
      <c r="B3407" s="12" t="str">
        <f t="shared" si="275"/>
        <v>SB Drive/Complete jumps/Alphabetical - K, L, M, N, O</v>
      </c>
    </row>
    <row r="3408">
      <c r="A3408" s="12" t="str">
        <f>HYPERLINK("https://drive.google.com/file/d/10yzq839-Jw9NxJwokPZoms-_ARnkuVOn/view?usp=drivesdk","October Daye JumpChain.pdf")</f>
        <v>October Daye JumpChain.pdf</v>
      </c>
      <c r="B3408" s="12" t="str">
        <f t="shared" si="275"/>
        <v>SB Drive/Complete jumps/Alphabetical - K, L, M, N, O</v>
      </c>
    </row>
    <row r="3409">
      <c r="A3409" s="12" t="str">
        <f>HYPERLINK("https://drive.google.com/file/d/1COMz5jX6ASwqSvwEnJGByRYih5Pj0Eaz/view?usp=drivesdk","Magic the Gathering - Shandalar JumpChain.pdf")</f>
        <v>Magic the Gathering - Shandalar JumpChain.pdf</v>
      </c>
      <c r="B3409" s="12" t="str">
        <f t="shared" si="275"/>
        <v>SB Drive/Complete jumps/Alphabetical - K, L, M, N, O</v>
      </c>
    </row>
    <row r="3410">
      <c r="A3410" s="12" t="str">
        <f>HYPERLINK("https://drive.google.com/file/d/1B6IdTvUzYov6qAT46TW4rHGqxPh7SZX5/view?usp=drivesdk","Ox Tales JumpChain.pdf")</f>
        <v>Ox Tales JumpChain.pdf</v>
      </c>
      <c r="B3410" s="12" t="str">
        <f t="shared" si="275"/>
        <v>SB Drive/Complete jumps/Alphabetical - K, L, M, N, O</v>
      </c>
    </row>
    <row r="3411">
      <c r="A3411" s="12" t="str">
        <f>HYPERLINK("https://drive.google.com/file/d/1m7kvnf3XT8PyfSxHFJBksETSsgwkyDj5/view?usp=drivesdk","Ori JumpChain.pdf")</f>
        <v>Ori JumpChain.pdf</v>
      </c>
      <c r="B3411" s="12" t="str">
        <f t="shared" si="275"/>
        <v>SB Drive/Complete jumps/Alphabetical - K, L, M, N, O</v>
      </c>
    </row>
    <row r="3412">
      <c r="A3412" s="12" t="str">
        <f>HYPERLINK("https://drive.google.com/file/d/1gOTEALgk8ieTfRQe0D6CieMdwbO4iU5t/view?usp=drivesdk","One True Build JumpChain.pdf")</f>
        <v>One True Build JumpChain.pdf</v>
      </c>
      <c r="B3412" s="12" t="str">
        <f t="shared" si="275"/>
        <v>SB Drive/Complete jumps/Alphabetical - K, L, M, N, O</v>
      </c>
    </row>
    <row r="3413">
      <c r="A3413" s="12" t="str">
        <f>HYPERLINK("https://drive.google.com/file/d/1gzelu12s_qL3vuchJIdjQzPCc5oY2wwE/view?usp=drivesdk","Okami JumpChain.pdf")</f>
        <v>Okami JumpChain.pdf</v>
      </c>
      <c r="B3413" s="12" t="str">
        <f t="shared" si="275"/>
        <v>SB Drive/Complete jumps/Alphabetical - K, L, M, N, O</v>
      </c>
    </row>
    <row r="3414">
      <c r="A3414" s="12" t="str">
        <f>HYPERLINK("https://drive.google.com/file/d/0By8NY-NO4-N5UUZFZmlSejg4bGc/view?usp=drivesdk&amp;resourcekey=0-58SGJcBQpiptKOXYpL1vFg","Oblivion Movie JumpChain.pdf")</f>
        <v>Oblivion Movie JumpChain.pdf</v>
      </c>
      <c r="B3414" s="12" t="str">
        <f t="shared" si="275"/>
        <v>SB Drive/Complete jumps/Alphabetical - K, L, M, N, O</v>
      </c>
    </row>
    <row r="3415">
      <c r="A3415" s="12" t="str">
        <f>HYPERLINK("https://drive.google.com/file/d/1m-bgiCR9iW0MQ8H0D0VkCZmrcj53aOqq/view?usp=drivesdk","Ninja Assassin JumpChain.pdf")</f>
        <v>Ninja Assassin JumpChain.pdf</v>
      </c>
      <c r="B3415" s="12" t="str">
        <f t="shared" si="275"/>
        <v>SB Drive/Complete jumps/Alphabetical - K, L, M, N, O</v>
      </c>
    </row>
    <row r="3416">
      <c r="A3416" s="12" t="str">
        <f>HYPERLINK("https://drive.google.com/file/d/1uXZPmWU76aOZyIgFC9LS-BIr59Nst9Lv/view?usp=drivesdk","My Time at Portia JumpChain.pdf")</f>
        <v>My Time at Portia JumpChain.pdf</v>
      </c>
      <c r="B3416" s="12" t="str">
        <f t="shared" si="275"/>
        <v>SB Drive/Complete jumps/Alphabetical - K, L, M, N, O</v>
      </c>
    </row>
    <row r="3417">
      <c r="A3417" s="12" t="str">
        <f>HYPERLINK("https://drive.google.com/file/d/1bbGw6UOZgfilkVlqHSNYq4w45OweNjF2/view?usp=drivesdk","Mushishi JumpChain.pdf")</f>
        <v>Mushishi JumpChain.pdf</v>
      </c>
      <c r="B3417" s="12" t="str">
        <f t="shared" si="275"/>
        <v>SB Drive/Complete jumps/Alphabetical - K, L, M, N, O</v>
      </c>
    </row>
    <row r="3418">
      <c r="A3418" s="12" t="str">
        <f>HYPERLINK("https://drive.google.com/file/d/1U-4pWr0cL3G0epXZ2adRRQTh9XzZx_aH/view?usp=drivesdk","Monster Rancher JumpChain.pdf")</f>
        <v>Monster Rancher JumpChain.pdf</v>
      </c>
      <c r="B3418" s="12" t="str">
        <f t="shared" si="275"/>
        <v>SB Drive/Complete jumps/Alphabetical - K, L, M, N, O</v>
      </c>
    </row>
    <row r="3419">
      <c r="A3419" s="12" t="str">
        <f>HYPERLINK("https://drive.google.com/file/d/0By8NY-NO4-N5UlZ5cnhGb2dENVE/view?usp=drivesdk&amp;resourcekey=0-qN76_RtRozO7PImXPU6XWg","My Little Pony JumpChain.pdf")</f>
        <v>My Little Pony JumpChain.pdf</v>
      </c>
      <c r="B3419" s="12" t="str">
        <f t="shared" si="275"/>
        <v>SB Drive/Complete jumps/Alphabetical - K, L, M, N, O</v>
      </c>
    </row>
    <row r="3420">
      <c r="A3420" s="12" t="str">
        <f>HYPERLINK("https://drive.google.com/file/d/1FvxBAqGJ23CF4ymx4T6LDjGhlNeXjwYg/view?usp=drivesdk","Mirai Nikki JumpChain.pdf")</f>
        <v>Mirai Nikki JumpChain.pdf</v>
      </c>
      <c r="B3420" s="12" t="str">
        <f t="shared" si="275"/>
        <v>SB Drive/Complete jumps/Alphabetical - K, L, M, N, O</v>
      </c>
    </row>
    <row r="3421">
      <c r="A3421" s="12" t="str">
        <f>HYPERLINK("https://drive.google.com/file/d/1KWkV-KMqGzY8Nv6BGCuOaC3Uh1HrBcto/view?usp=drivesdk","Miracleman JumpChain.pdf")</f>
        <v>Miracleman JumpChain.pdf</v>
      </c>
      <c r="B3421" s="12" t="str">
        <f t="shared" si="275"/>
        <v>SB Drive/Complete jumps/Alphabetical - K, L, M, N, O</v>
      </c>
    </row>
    <row r="3422">
      <c r="A3422" s="12" t="str">
        <f>HYPERLINK("https://drive.google.com/file/d/0B_TqZboetruwdzRGREpxeXNaQmM/view?usp=drivesdk&amp;resourcekey=0-gYip4SkCXRC37zwsn83buw","Mermaid Melody Pichi Pichi Pitch JumpChain.pdf")</f>
        <v>Mermaid Melody Pichi Pichi Pitch JumpChain.pdf</v>
      </c>
      <c r="B3422" s="12" t="str">
        <f t="shared" si="275"/>
        <v>SB Drive/Complete jumps/Alphabetical - K, L, M, N, O</v>
      </c>
    </row>
    <row r="3423">
      <c r="A3423" s="12" t="str">
        <f>HYPERLINK("https://drive.google.com/file/d/1hne7ZShaaRl1NM614Az37GW__NXx2Zhs/view?usp=drivesdk","Megamind JumpChain.pdf")</f>
        <v>Megamind JumpChain.pdf</v>
      </c>
      <c r="B3423" s="12" t="str">
        <f t="shared" si="275"/>
        <v>SB Drive/Complete jumps/Alphabetical - K, L, M, N, O</v>
      </c>
    </row>
    <row r="3424">
      <c r="A3424" s="12" t="str">
        <f>HYPERLINK("https://drive.google.com/file/d/1mWZB4Tovm4Hzo-3FlBSxf6MUSEYEXy8Y/view?usp=drivesdk","Man in the High Castle JumpChain.pdf")</f>
        <v>Man in the High Castle JumpChain.pdf</v>
      </c>
      <c r="B3424" s="12" t="str">
        <f t="shared" si="275"/>
        <v>SB Drive/Complete jumps/Alphabetical - K, L, M, N, O</v>
      </c>
    </row>
    <row r="3425">
      <c r="A3425" s="12" t="str">
        <f>HYPERLINK("https://drive.google.com/file/d/1gp_aNbah2Cx0bc-O-CvZSLvh3yK3aCMb/view?usp=drivesdk","Mako Island of Secrets JumpChain.pdf")</f>
        <v>Mako Island of Secrets JumpChain.pdf</v>
      </c>
      <c r="B3425" s="12" t="str">
        <f t="shared" si="275"/>
        <v>SB Drive/Complete jumps/Alphabetical - K, L, M, N, O</v>
      </c>
    </row>
    <row r="3426">
      <c r="A3426" s="12" t="str">
        <f>HYPERLINK("https://drive.google.com/file/d/1ATZfh-c0Rv-xXSrLfzaU_Diix9D1uRQz/view?usp=drivesdk","Magic School Bus JumpChain.pdf")</f>
        <v>Magic School Bus JumpChain.pdf</v>
      </c>
      <c r="B3426" s="12" t="str">
        <f t="shared" si="275"/>
        <v>SB Drive/Complete jumps/Alphabetical - K, L, M, N, O</v>
      </c>
    </row>
    <row r="3427">
      <c r="A3427" s="12" t="str">
        <f>HYPERLINK("https://drive.google.com/file/d/1vho-0oDwLxQ-U0kLCVeivECKpEkA3kbH/view?usp=drivesdk","Mad World JumpChain.pdf")</f>
        <v>Mad World JumpChain.pdf</v>
      </c>
      <c r="B3427" s="12" t="str">
        <f t="shared" si="275"/>
        <v>SB Drive/Complete jumps/Alphabetical - K, L, M, N, O</v>
      </c>
    </row>
    <row r="3428">
      <c r="A3428" s="12" t="str">
        <f>HYPERLINK("https://drive.google.com/file/d/1uazOxDpouAmPA-Jph1FvOCeU4v7KMKII/view?usp=drivesdk","M.A.S.H. JumpChain.pdf")</f>
        <v>M.A.S.H. JumpChain.pdf</v>
      </c>
      <c r="B3428" s="12" t="str">
        <f t="shared" si="275"/>
        <v>SB Drive/Complete jumps/Alphabetical - K, L, M, N, O</v>
      </c>
    </row>
    <row r="3429">
      <c r="A3429" s="12" t="str">
        <f>HYPERLINK("https://drive.google.com/file/d/1VePgYp1V-vql5xOvU88LPWhmiiBfJEWO/view?usp=drivesdk","Lucy JumpChain.pdf")</f>
        <v>Lucy JumpChain.pdf</v>
      </c>
      <c r="B3429" s="12" t="str">
        <f t="shared" si="275"/>
        <v>SB Drive/Complete jumps/Alphabetical - K, L, M, N, O</v>
      </c>
    </row>
    <row r="3430">
      <c r="A3430" s="12" t="str">
        <f>HYPERLINK("https://drive.google.com/file/d/1QIp3U_IC2NwV1Cn03wZxsQ0umEh0V_7S/view?usp=drivesdk","Lost Magic JumpChain.pdf")</f>
        <v>Lost Magic JumpChain.pdf</v>
      </c>
      <c r="B3430" s="12" t="str">
        <f t="shared" si="275"/>
        <v>SB Drive/Complete jumps/Alphabetical - K, L, M, N, O</v>
      </c>
    </row>
    <row r="3431">
      <c r="A3431" s="12" t="str">
        <f>HYPERLINK("https://drive.google.com/file/d/1cKg2nk2dvyv-_WB1w_X3Vlp9pYbloAbd/view?usp=drivesdk","Lost Odyssey JumpChain.pdf")</f>
        <v>Lost Odyssey JumpChain.pdf</v>
      </c>
      <c r="B3431" s="12" t="str">
        <f t="shared" si="275"/>
        <v>SB Drive/Complete jumps/Alphabetical - K, L, M, N, O</v>
      </c>
    </row>
    <row r="3432">
      <c r="A3432" s="12" t="str">
        <f>HYPERLINK("https://drive.google.com/file/d/1Nxc2FXm2AW-bHJ1pTnlaCTJiZUozfLa-/view?usp=drivesdk","Lost Eden JumpChain.pdf")</f>
        <v>Lost Eden JumpChain.pdf</v>
      </c>
      <c r="B3432" s="12" t="str">
        <f t="shared" si="275"/>
        <v>SB Drive/Complete jumps/Alphabetical - K, L, M, N, O</v>
      </c>
    </row>
    <row r="3433">
      <c r="A3433" s="12" t="str">
        <f>HYPERLINK("https://drive.google.com/file/d/0By8NY-NO4-N5aUxHaW9JVU5WTTg/view?usp=drivesdk&amp;resourcekey=0-uE9myXUh7iS7xDnCMVTwSg","Log Horizon JumpChain.pdf")</f>
        <v>Log Horizon JumpChain.pdf</v>
      </c>
      <c r="B3433" s="12" t="str">
        <f t="shared" si="275"/>
        <v>SB Drive/Complete jumps/Alphabetical - K, L, M, N, O</v>
      </c>
    </row>
    <row r="3434">
      <c r="A3434" s="12" t="str">
        <f>HYPERLINK("https://drive.google.com/file/d/1nN_EMLY3HLGQoYFa9sN0He8tuJUudABE/view?usp=drivesdk","Life Is Strange JumpChain.pdf")</f>
        <v>Life Is Strange JumpChain.pdf</v>
      </c>
      <c r="B3434" s="12" t="str">
        <f t="shared" si="275"/>
        <v>SB Drive/Complete jumps/Alphabetical - K, L, M, N, O</v>
      </c>
    </row>
    <row r="3435">
      <c r="A3435" s="12" t="str">
        <f>HYPERLINK("https://drive.google.com/file/d/1G91H0CK5XdGm0t9UcRS2B9OcWYMUi0MR/view?usp=drivesdk","Leverage JumpChain.pdf")</f>
        <v>Leverage JumpChain.pdf</v>
      </c>
      <c r="B3435" s="12" t="str">
        <f t="shared" si="275"/>
        <v>SB Drive/Complete jumps/Alphabetical - K, L, M, N, O</v>
      </c>
    </row>
    <row r="3436">
      <c r="A3436" s="12" t="str">
        <f>HYPERLINK("https://drive.google.com/file/d/1iHddwsB-MxUis5wVnq2quT9ySo5fALh_/view?usp=drivesdk","Les Miserables JumpChain.pdf")</f>
        <v>Les Miserables JumpChain.pdf</v>
      </c>
      <c r="B3436" s="12" t="str">
        <f t="shared" si="275"/>
        <v>SB Drive/Complete jumps/Alphabetical - K, L, M, N, O</v>
      </c>
    </row>
    <row r="3437">
      <c r="A3437" s="12" t="str">
        <f>HYPERLINK("https://drive.google.com/file/d/1DBvtPuvg9y1hkSdSnHmXhDe84rUe94Vy/view?usp=drivesdk","Lego Dimensions JumpChain.pdf")</f>
        <v>Lego Dimensions JumpChain.pdf</v>
      </c>
      <c r="B3437" s="12" t="str">
        <f t="shared" si="275"/>
        <v>SB Drive/Complete jumps/Alphabetical - K, L, M, N, O</v>
      </c>
    </row>
    <row r="3438">
      <c r="A3438" s="12" t="str">
        <f>HYPERLINK("https://drive.google.com/file/d/1SBxm3Ipn3HcarWk_eehwR3TWOo1-CoCt/view?usp=drivesdk","Left 4 Dead JumpChain.pdf")</f>
        <v>Left 4 Dead JumpChain.pdf</v>
      </c>
      <c r="B3438" s="12" t="str">
        <f t="shared" si="275"/>
        <v>SB Drive/Complete jumps/Alphabetical - K, L, M, N, O</v>
      </c>
    </row>
    <row r="3439">
      <c r="A3439" s="12" t="str">
        <f>HYPERLINK("https://drive.google.com/file/d/0By8NY-NO4-N5M2kxNkVuTEhEM2c/view?usp=drivesdk&amp;resourcekey=0-Vsq-IdLX_9IW-mjeuVL1gg","Last Exile JumpChain.pdf")</f>
        <v>Last Exile JumpChain.pdf</v>
      </c>
      <c r="B3439" s="12" t="str">
        <f t="shared" si="275"/>
        <v>SB Drive/Complete jumps/Alphabetical - K, L, M, N, O</v>
      </c>
    </row>
    <row r="3440">
      <c r="A3440" s="12" t="str">
        <f>HYPERLINK("https://drive.google.com/file/d/1Aqo3TK06vD_M0xVjicYpw32kklnKFXRm/view?usp=drivesdk","Kung Fu Hustle JumpChain.pdf")</f>
        <v>Kung Fu Hustle JumpChain.pdf</v>
      </c>
      <c r="B3440" s="12" t="str">
        <f t="shared" si="275"/>
        <v>SB Drive/Complete jumps/Alphabetical - K, L, M, N, O</v>
      </c>
    </row>
    <row r="3441">
      <c r="A3441" s="12" t="str">
        <f>HYPERLINK("https://drive.google.com/file/d/1nJg5Sn9XaAV485OyS5fSdLgUQuW8MLut/view?usp=drivesdk","Kulipari JumpChain.pdf")</f>
        <v>Kulipari JumpChain.pdf</v>
      </c>
      <c r="B3441" s="12" t="str">
        <f t="shared" si="275"/>
        <v>SB Drive/Complete jumps/Alphabetical - K, L, M, N, O</v>
      </c>
    </row>
    <row r="3442">
      <c r="A3442" s="12" t="str">
        <f>HYPERLINK("https://drive.google.com/file/d/1a694B-6Tu1el3aV8lJvx1IIRQZpZib1M/view?usp=drivesdk","Knights of the Dinner Table JumpChain.pdf")</f>
        <v>Knights of the Dinner Table JumpChain.pdf</v>
      </c>
      <c r="B3442" s="12" t="str">
        <f t="shared" si="275"/>
        <v>SB Drive/Complete jumps/Alphabetical - K, L, M, N, O</v>
      </c>
    </row>
    <row r="3443">
      <c r="A3443" s="12" t="str">
        <f>HYPERLINK("https://drive.google.com/file/d/1t4Lyj2aIIqrriPUFUU1k_U4hVncEVFvS/view?usp=drivesdk","Kipo &amp; The Age of Wonderbeasts JumpChain.pdf")</f>
        <v>Kipo &amp; The Age of Wonderbeasts JumpChain.pdf</v>
      </c>
      <c r="B3443" s="12" t="str">
        <f t="shared" si="275"/>
        <v>SB Drive/Complete jumps/Alphabetical - K, L, M, N, O</v>
      </c>
    </row>
    <row r="3444">
      <c r="A3444" s="12" t="str">
        <f>HYPERLINK("https://drive.google.com/file/d/1RdRx8ydNvv-uP2B64eBxUiyMAJf0sisz/view?usp=drivesdk","King Arthur &amp; the Knights of Justice JumpChain.pdf")</f>
        <v>King Arthur &amp; the Knights of Justice JumpChain.pdf</v>
      </c>
      <c r="B3444" s="12" t="str">
        <f t="shared" si="275"/>
        <v>SB Drive/Complete jumps/Alphabetical - K, L, M, N, O</v>
      </c>
    </row>
    <row r="3445">
      <c r="A3445" s="12" t="str">
        <f>HYPERLINK("https://drive.google.com/file/d/1VfvgpUMSenoYca3OmvNlG7HMmNdluUaQ/view?usp=drivesdk","Kimetsu no Yaiba (Demon Slayer) JumpChain.pdf")</f>
        <v>Kimetsu no Yaiba (Demon Slayer) JumpChain.pdf</v>
      </c>
      <c r="B3445" s="12" t="str">
        <f t="shared" si="275"/>
        <v>SB Drive/Complete jumps/Alphabetical - K, L, M, N, O</v>
      </c>
    </row>
    <row r="3446">
      <c r="A3446" s="12" t="str">
        <f>HYPERLINK("https://drive.google.com/file/d/1bYn1UV49xaheabR8k4pqtTQPkNWs8jOE/view?usp=drivesdk","Keychain of Creation JumpChain.pdf")</f>
        <v>Keychain of Creation JumpChain.pdf</v>
      </c>
      <c r="B3446" s="12" t="str">
        <f t="shared" si="275"/>
        <v>SB Drive/Complete jumps/Alphabetical - K, L, M, N, O</v>
      </c>
    </row>
    <row r="3447">
      <c r="A3447" s="12" t="str">
        <f>HYPERLINK("https://drive.google.com/file/d/1p2fx2gVVQK9YagKNOWfNuqPZPq57VGNN/view?usp=drivesdk","Kemono Friends JumpChain.pdf")</f>
        <v>Kemono Friends JumpChain.pdf</v>
      </c>
      <c r="B3447" s="12" t="str">
        <f t="shared" si="275"/>
        <v>SB Drive/Complete jumps/Alphabetical - K, L, M, N, O</v>
      </c>
    </row>
    <row r="3448">
      <c r="A3448" s="12" t="str">
        <f>HYPERLINK("https://drive.google.com/file/d/0By8NY-NO4-N5NHZ3MmxBbGlrZUU/view?usp=drivesdk&amp;resourcekey=0-zM7Q95igsOKX3wl8rLTg2w","Kamidori JumpChain.pdf")</f>
        <v>Kamidori JumpChain.pdf</v>
      </c>
      <c r="B3448" s="12" t="str">
        <f t="shared" si="275"/>
        <v>SB Drive/Complete jumps/Alphabetical - K, L, M, N, O</v>
      </c>
    </row>
    <row r="3449">
      <c r="A3449" s="12" t="str">
        <f>HYPERLINK("https://drive.google.com/file/d/1HRBBntaVPSH_3u4H5SiubH0AmjGsMx7g/view?usp=drivesdk","Kaiba JumpChain.pdf")</f>
        <v>Kaiba JumpChain.pdf</v>
      </c>
      <c r="B3449" s="12" t="str">
        <f t="shared" si="275"/>
        <v>SB Drive/Complete jumps/Alphabetical - K, L, M, N, O</v>
      </c>
    </row>
    <row r="3450">
      <c r="A3450" s="12" t="str">
        <f>HYPERLINK("https://drive.google.com/file/d/1bo_DtEr5A_4K6v7XFQzrF5hDZeBGBYuJ/view?usp=drivesdk","Octonauts JumpChain.pdf")</f>
        <v>Octonauts JumpChain.pdf</v>
      </c>
      <c r="B3450" s="12" t="str">
        <f t="shared" si="275"/>
        <v>SB Drive/Complete jumps/Alphabetical - K, L, M, N, O</v>
      </c>
    </row>
    <row r="3451">
      <c r="A3451" s="12" t="str">
        <f>HYPERLINK("https://drive.google.com/file/d/1OJELdJjFSMx5_bVQteCKDFQyKztX1Ngd/view?usp=drivesdk","NoX JumpChain.pdf")</f>
        <v>NoX JumpChain.pdf</v>
      </c>
      <c r="B3451" s="12" t="str">
        <f t="shared" si="275"/>
        <v>SB Drive/Complete jumps/Alphabetical - K, L, M, N, O</v>
      </c>
    </row>
    <row r="3452">
      <c r="A3452" s="12" t="str">
        <f>HYPERLINK("https://drive.google.com/file/d/1-AXky3x-v2puorH2JBiCoc0CLMEpY9xa/view?usp=drivesdk","My Life as a Teenage Robot JumpChain.pdf")</f>
        <v>My Life as a Teenage Robot JumpChain.pdf</v>
      </c>
      <c r="B3452" s="12" t="str">
        <f t="shared" si="275"/>
        <v>SB Drive/Complete jumps/Alphabetical - K, L, M, N, O</v>
      </c>
    </row>
    <row r="3453">
      <c r="A3453" s="12" t="str">
        <f>HYPERLINK("https://drive.google.com/file/d/1YQStiPhFbuVLF10IQK-RnC6Zx3A4_wTI/view?usp=drivesdk","Kingdom of Loathing JumpChain.pdf")</f>
        <v>Kingdom of Loathing JumpChain.pdf</v>
      </c>
      <c r="B3453" s="12" t="str">
        <f t="shared" si="275"/>
        <v>SB Drive/Complete jumps/Alphabetical - K, L, M, N, O</v>
      </c>
    </row>
    <row r="3454">
      <c r="A3454" s="12" t="str">
        <f>HYPERLINK("https://drive.google.com/file/d/1uR4f-AjcP1XkO_Y_2pCP0rIApzpML8RM/view?usp=drivesdk","Killzone JumpChain.pdf")</f>
        <v>Killzone JumpChain.pdf</v>
      </c>
      <c r="B3454" s="12" t="str">
        <f t="shared" si="275"/>
        <v>SB Drive/Complete jumps/Alphabetical - K, L, M, N, O</v>
      </c>
    </row>
    <row r="3455">
      <c r="A3455" s="12" t="str">
        <f>HYPERLINK("https://drive.google.com/file/d/1u2wVy6GJzjHXpTXjl3VMGs2gNwnoITK2/view?usp=drivesdk","Grand Theft Auto Vice City JumpChain.pdf")</f>
        <v>Grand Theft Auto Vice City JumpChain.pdf</v>
      </c>
      <c r="B3455" s="12" t="str">
        <f t="shared" ref="B3455:B3508" si="276">HYPERLINK("https://drive.google.com/drive/folders/1W4TgZ0c4Zlo9-NQE962RKn-vvp5st8Kj","SB Drive/Complete jumps/Alphabetical - F, G, H, I, J")</f>
        <v>SB Drive/Complete jumps/Alphabetical - F, G, H, I, J</v>
      </c>
    </row>
    <row r="3456">
      <c r="A3456" s="12" t="str">
        <f>HYPERLINK("https://drive.google.com/file/d/15YzGramfR7rHngHX0cdSzfLoCTKLkahD/view?usp=drivesdk","Girls und Panzer JumpChain.pdf")</f>
        <v>Girls und Panzer JumpChain.pdf</v>
      </c>
      <c r="B3456" s="12" t="str">
        <f t="shared" si="276"/>
        <v>SB Drive/Complete jumps/Alphabetical - F, G, H, I, J</v>
      </c>
    </row>
    <row r="3457">
      <c r="A3457" s="12" t="str">
        <f>HYPERLINK("https://drive.google.com/file/d/1eNMr_UJRveKxs81qsyaGnF8eNb_VH1qr/view?usp=drivesdk","Flash Gordon JumpChain.pdf")</f>
        <v>Flash Gordon JumpChain.pdf</v>
      </c>
      <c r="B3457" s="12" t="str">
        <f t="shared" si="276"/>
        <v>SB Drive/Complete jumps/Alphabetical - F, G, H, I, J</v>
      </c>
    </row>
    <row r="3458">
      <c r="A3458" s="12" t="str">
        <f>HYPERLINK("https://drive.google.com/file/d/1ZqFRxJ32OI_1E3n_eSV3N4SG3UNna1GX/view?usp=drivesdk","Juuni Taisen JumpChain.pdf")</f>
        <v>Juuni Taisen JumpChain.pdf</v>
      </c>
      <c r="B3458" s="12" t="str">
        <f t="shared" si="276"/>
        <v>SB Drive/Complete jumps/Alphabetical - F, G, H, I, J</v>
      </c>
    </row>
    <row r="3459">
      <c r="A3459" s="12" t="str">
        <f>HYPERLINK("https://drive.google.com/file/d/1zinhT8XzgLGzCTb7mv49xeSxLVQEwmOb/view?usp=drivesdk","Jurassic World Evolution JumpChain.pdf")</f>
        <v>Jurassic World Evolution JumpChain.pdf</v>
      </c>
      <c r="B3459" s="12" t="str">
        <f t="shared" si="276"/>
        <v>SB Drive/Complete jumps/Alphabetical - F, G, H, I, J</v>
      </c>
    </row>
    <row r="3460">
      <c r="A3460" s="12" t="str">
        <f>HYPERLINK("https://drive.google.com/file/d/19l3Ex14LKnKKgxtCGmu5hzJI03pthW-j/view?usp=drivesdk","Jupiter Ascending JumpChain.pdf")</f>
        <v>Jupiter Ascending JumpChain.pdf</v>
      </c>
      <c r="B3460" s="12" t="str">
        <f t="shared" si="276"/>
        <v>SB Drive/Complete jumps/Alphabetical - F, G, H, I, J</v>
      </c>
    </row>
    <row r="3461">
      <c r="A3461" s="12" t="str">
        <f>HYPERLINK("https://drive.google.com/file/d/1MNu_JIfnTn7gJQpa3NtiHERap3U6pYep/view?usp=drivesdk","Jumper JumpChain.pdf")</f>
        <v>Jumper JumpChain.pdf</v>
      </c>
      <c r="B3461" s="12" t="str">
        <f t="shared" si="276"/>
        <v>SB Drive/Complete jumps/Alphabetical - F, G, H, I, J</v>
      </c>
    </row>
    <row r="3462">
      <c r="A3462" s="12" t="str">
        <f>HYPERLINK("https://drive.google.com/file/d/12-2QRhHrR5Rs1-0ISGOQFlcOxLhbUbRT/view?usp=drivesdk","Jumper (Novels) JumpChain.pdf")</f>
        <v>Jumper (Novels) JumpChain.pdf</v>
      </c>
      <c r="B3462" s="12" t="str">
        <f t="shared" si="276"/>
        <v>SB Drive/Complete jumps/Alphabetical - F, G, H, I, J</v>
      </c>
    </row>
    <row r="3463">
      <c r="A3463" s="12" t="str">
        <f>HYPERLINK("https://drive.google.com/file/d/1f0V4u5gb5oSR7odZpUXElmOmJt4HfD4b/view?usp=drivesdk","John Wick JumpChain.pdf")</f>
        <v>John Wick JumpChain.pdf</v>
      </c>
      <c r="B3463" s="12" t="str">
        <f t="shared" si="276"/>
        <v>SB Drive/Complete jumps/Alphabetical - F, G, H, I, J</v>
      </c>
    </row>
    <row r="3464">
      <c r="A3464" s="12" t="str">
        <f>HYPERLINK("https://drive.google.com/file/d/1A0cYK8BeJ4U3wfs9CHjy_lx9w51Gi_8r/view?usp=drivesdk","Jobless In Another World JumpChain.pdf")</f>
        <v>Jobless In Another World JumpChain.pdf</v>
      </c>
      <c r="B3464" s="12" t="str">
        <f t="shared" si="276"/>
        <v>SB Drive/Complete jumps/Alphabetical - F, G, H, I, J</v>
      </c>
    </row>
    <row r="3465">
      <c r="A3465" s="12" t="str">
        <f>HYPERLINK("https://drive.google.com/file/d/0By8NY-NO4-N5M1k3TUc1QXh2aE0/view?usp=drivesdk&amp;resourcekey=0-_L03Rzebx5fU434NosMhhw","Jak and Daxter JumpChain.pdf")</f>
        <v>Jak and Daxter JumpChain.pdf</v>
      </c>
      <c r="B3465" s="12" t="str">
        <f t="shared" si="276"/>
        <v>SB Drive/Complete jumps/Alphabetical - F, G, H, I, J</v>
      </c>
    </row>
    <row r="3466">
      <c r="A3466" s="12" t="str">
        <f>HYPERLINK("https://drive.google.com/file/d/15ZZ49pWXs40XzPVv_5KRR1WGtfjp-Npi/view?usp=drivesdk","Isekai Izakaya 'Nobu' JumpChain.pdf")</f>
        <v>Isekai Izakaya 'Nobu' JumpChain.pdf</v>
      </c>
      <c r="B3466" s="12" t="str">
        <f t="shared" si="276"/>
        <v>SB Drive/Complete jumps/Alphabetical - F, G, H, I, J</v>
      </c>
    </row>
    <row r="3467">
      <c r="A3467" s="12" t="str">
        <f>HYPERLINK("https://drive.google.com/file/d/1sD1I1SytUxjov30wqXNb04eNXauZEme6/view?usp=drivesdk","Iron Sky JumpChain.pdf")</f>
        <v>Iron Sky JumpChain.pdf</v>
      </c>
      <c r="B3467" s="12" t="str">
        <f t="shared" si="276"/>
        <v>SB Drive/Complete jumps/Alphabetical - F, G, H, I, J</v>
      </c>
    </row>
    <row r="3468">
      <c r="A3468" s="12" t="str">
        <f>HYPERLINK("https://drive.google.com/file/d/1jUxny1QOs5TY-l3VtzRNmNbSfcaIwYiC/view?usp=drivesdk","Invincible JumpChain.pdf")</f>
        <v>Invincible JumpChain.pdf</v>
      </c>
      <c r="B3468" s="12" t="str">
        <f t="shared" si="276"/>
        <v>SB Drive/Complete jumps/Alphabetical - F, G, H, I, J</v>
      </c>
    </row>
    <row r="3469">
      <c r="A3469" s="12" t="str">
        <f>HYPERLINK("https://drive.google.com/file/d/1ip6HeRRKIIVm3jJTp1MMSAv2-RwGRvrC/view?usp=drivesdk","Inheritance Trilogy JumpChain.pdf")</f>
        <v>Inheritance Trilogy JumpChain.pdf</v>
      </c>
      <c r="B3469" s="12" t="str">
        <f t="shared" si="276"/>
        <v>SB Drive/Complete jumps/Alphabetical - F, G, H, I, J</v>
      </c>
    </row>
    <row r="3470">
      <c r="A3470" s="12" t="str">
        <f>HYPERLINK("https://drive.google.com/file/d/1o5e5wCs-dwTNC2WiSGtmi5umXAhbNCZc/view?usp=drivesdk","Inception JumpChain.pdf")</f>
        <v>Inception JumpChain.pdf</v>
      </c>
      <c r="B3470" s="12" t="str">
        <f t="shared" si="276"/>
        <v>SB Drive/Complete jumps/Alphabetical - F, G, H, I, J</v>
      </c>
    </row>
    <row r="3471">
      <c r="A3471" s="12" t="str">
        <f>HYPERLINK("https://drive.google.com/file/d/0B_wNukbDcfWpOTJWa1NXYi1ETkk/view?usp=drivesdk&amp;resourcekey=0-EyME3uBfd2osVbzL8sC97Q","In Another World With My Smartphone JumpChain.pdf")</f>
        <v>In Another World With My Smartphone JumpChain.pdf</v>
      </c>
      <c r="B3471" s="12" t="str">
        <f t="shared" si="276"/>
        <v>SB Drive/Complete jumps/Alphabetical - F, G, H, I, J</v>
      </c>
    </row>
    <row r="3472">
      <c r="A3472" s="12" t="str">
        <f>HYPERLINK("https://drive.google.com/file/d/1NxOwjv3kTkAA9APM1TqjTgdgVUlUeAMf/view?usp=drivesdk","I’m Really a Superstar JumpChain.pdf")</f>
        <v>I’m Really a Superstar JumpChain.pdf</v>
      </c>
      <c r="B3472" s="12" t="str">
        <f t="shared" si="276"/>
        <v>SB Drive/Complete jumps/Alphabetical - F, G, H, I, J</v>
      </c>
    </row>
    <row r="3473">
      <c r="A3473" s="12" t="str">
        <f>HYPERLINK("https://drive.google.com/file/d/1iduNRvJZj9jIVog_6iSU4QHF3POdakDd/view?usp=drivesdk","I Will Try To Be Something In This Generic But Wonderful World JumpChain.pdf")</f>
        <v>I Will Try To Be Something In This Generic But Wonderful World JumpChain.pdf</v>
      </c>
      <c r="B3473" s="12" t="str">
        <f t="shared" si="276"/>
        <v>SB Drive/Complete jumps/Alphabetical - F, G, H, I, J</v>
      </c>
    </row>
    <row r="3474">
      <c r="A3474" s="12" t="str">
        <f>HYPERLINK("https://drive.google.com/file/d/1449o_ozmSAj1S6Zcp0IZOtSo4rCMMGBu/view?usp=drivesdk","I Shall Seal The Heavens, Mountains &amp; Seas JumpChain.pdf")</f>
        <v>I Shall Seal The Heavens, Mountains &amp; Seas JumpChain.pdf</v>
      </c>
      <c r="B3474" s="12" t="str">
        <f t="shared" si="276"/>
        <v>SB Drive/Complete jumps/Alphabetical - F, G, H, I, J</v>
      </c>
    </row>
    <row r="3475">
      <c r="A3475" s="12" t="str">
        <f>HYPERLINK("https://drive.google.com/file/d/1o6DtUeZ3o0PMqLXbqOi6idR0WOvOh6qD/view?usp=drivesdk","I Have a Mansion in the Post Apocalyptic World JumpChain.pdf")</f>
        <v>I Have a Mansion in the Post Apocalyptic World JumpChain.pdf</v>
      </c>
      <c r="B3475" s="12" t="str">
        <f t="shared" si="276"/>
        <v>SB Drive/Complete jumps/Alphabetical - F, G, H, I, J</v>
      </c>
    </row>
    <row r="3476">
      <c r="A3476" s="12" t="str">
        <f>HYPERLINK("https://drive.google.com/file/d/1tQ4vx7D1LVWAglh-C-uiebS-Ymruvg4U/view?usp=drivesdk","How To Be A Werewolf JumpChain.pdf")</f>
        <v>How To Be A Werewolf JumpChain.pdf</v>
      </c>
      <c r="B3476" s="12" t="str">
        <f t="shared" si="276"/>
        <v>SB Drive/Complete jumps/Alphabetical - F, G, H, I, J</v>
      </c>
    </row>
    <row r="3477">
      <c r="A3477" s="12" t="str">
        <f>HYPERLINK("https://drive.google.com/file/d/1kP52aBK0OWUj7-2SsMMbokvSR2GGyw2y/view?usp=drivesdk","Hostile Waters: Antaeus Rising JumpChain.pdf")</f>
        <v>Hostile Waters: Antaeus Rising JumpChain.pdf</v>
      </c>
      <c r="B3477" s="12" t="str">
        <f t="shared" si="276"/>
        <v>SB Drive/Complete jumps/Alphabetical - F, G, H, I, J</v>
      </c>
    </row>
    <row r="3478">
      <c r="A3478" s="12" t="str">
        <f>HYPERLINK("https://drive.google.com/file/d/1RWLrg8ZoRJx22zEcPokuZYFYgsASqg7l/view?usp=drivesdk","Honor Harrington JumpChain.pdf")</f>
        <v>Honor Harrington JumpChain.pdf</v>
      </c>
      <c r="B3478" s="12" t="str">
        <f t="shared" si="276"/>
        <v>SB Drive/Complete jumps/Alphabetical - F, G, H, I, J</v>
      </c>
    </row>
    <row r="3479">
      <c r="A3479" s="12" t="str">
        <f>HYPERLINK("https://drive.google.com/file/d/10bx8aY9e6D9gJMBJvhqxPcrDCot1kOp-/view?usp=drivesdk","Homeworld JumpChain.pdf")</f>
        <v>Homeworld JumpChain.pdf</v>
      </c>
      <c r="B3479" s="12" t="str">
        <f t="shared" si="276"/>
        <v>SB Drive/Complete jumps/Alphabetical - F, G, H, I, J</v>
      </c>
    </row>
    <row r="3480">
      <c r="A3480" s="12" t="str">
        <f>HYPERLINK("https://drive.google.com/file/d/1OxcozEgeOXv6V4ztdjiERtZ7va5s6R0E/view?usp=drivesdk","Hitchhiker's Guide To The Galaxy JumpChain.pdf")</f>
        <v>Hitchhiker's Guide To The Galaxy JumpChain.pdf</v>
      </c>
      <c r="B3480" s="12" t="str">
        <f t="shared" si="276"/>
        <v>SB Drive/Complete jumps/Alphabetical - F, G, H, I, J</v>
      </c>
    </row>
    <row r="3481">
      <c r="A3481" s="12" t="str">
        <f>HYPERLINK("https://drive.google.com/file/d/16YxHdT1HkbGXaTM6XF38lQb2Vzxohed1/view?usp=drivesdk","Hiro the Dense JumpChain.pdf")</f>
        <v>Hiro the Dense JumpChain.pdf</v>
      </c>
      <c r="B3481" s="12" t="str">
        <f t="shared" si="276"/>
        <v>SB Drive/Complete jumps/Alphabetical - F, G, H, I, J</v>
      </c>
    </row>
    <row r="3482">
      <c r="A3482" s="12" t="str">
        <f>HYPERLINK("https://drive.google.com/file/d/0B_TH0sswbFSIWkpFeTh2TFRYeTQ/view?usp=drivesdk&amp;resourcekey=0-aAn_YEkMDP7HV4tsW0xILQ","Heroes JumpChain.pdf")</f>
        <v>Heroes JumpChain.pdf</v>
      </c>
      <c r="B3482" s="12" t="str">
        <f t="shared" si="276"/>
        <v>SB Drive/Complete jumps/Alphabetical - F, G, H, I, J</v>
      </c>
    </row>
    <row r="3483">
      <c r="A3483" s="12" t="str">
        <f>HYPERLINK("https://drive.google.com/file/d/0B_TqZboetruwMm9PMDNwSU5DM0k/view?usp=drivesdk&amp;resourcekey=0-0zVvtYdMVZB_AqUdMN1Png","Haroun and the Sea of Stories JumpChain.pdf")</f>
        <v>Haroun and the Sea of Stories JumpChain.pdf</v>
      </c>
      <c r="B3483" s="12" t="str">
        <f t="shared" si="276"/>
        <v>SB Drive/Complete jumps/Alphabetical - F, G, H, I, J</v>
      </c>
    </row>
    <row r="3484">
      <c r="A3484" s="12" t="str">
        <f>HYPERLINK("https://drive.google.com/file/d/1fiHE9fCdhhoxEEi6l8Ld3VKZcl1T1RoZ/view?usp=drivesdk","Hancock JumpChain.pdf")</f>
        <v>Hancock JumpChain.pdf</v>
      </c>
      <c r="B3484" s="12" t="str">
        <f t="shared" si="276"/>
        <v>SB Drive/Complete jumps/Alphabetical - F, G, H, I, J</v>
      </c>
    </row>
    <row r="3485">
      <c r="A3485" s="12" t="str">
        <f>HYPERLINK("https://drive.google.com/file/d/1dP9kBJfxDY4kXa3W8GWc874M8huPxAL0/view?usp=drivesdk","Hades JumpChain.pdf")</f>
        <v>Hades JumpChain.pdf</v>
      </c>
      <c r="B3485" s="12" t="str">
        <f t="shared" si="276"/>
        <v>SB Drive/Complete jumps/Alphabetical - F, G, H, I, J</v>
      </c>
    </row>
    <row r="3486">
      <c r="A3486" s="12" t="str">
        <f>HYPERLINK("https://drive.google.com/file/d/16MVnRwtsDMwWRWndsLU4xxyuGrrWmVKm/view?usp=drivesdk","Guardian Tales JumpChain.pdf")</f>
        <v>Guardian Tales JumpChain.pdf</v>
      </c>
      <c r="B3486" s="12" t="str">
        <f t="shared" si="276"/>
        <v>SB Drive/Complete jumps/Alphabetical - F, G, H, I, J</v>
      </c>
    </row>
    <row r="3487">
      <c r="A3487" s="12" t="str">
        <f>HYPERLINK("https://drive.google.com/file/d/102zNpnzHkwJvDf2lRaV3-wwEqDBPRVVo/view?usp=drivesdk","Grrl Power JumpChain.pdf")</f>
        <v>Grrl Power JumpChain.pdf</v>
      </c>
      <c r="B3487" s="12" t="str">
        <f t="shared" si="276"/>
        <v>SB Drive/Complete jumps/Alphabetical - F, G, H, I, J</v>
      </c>
    </row>
    <row r="3488">
      <c r="A3488" s="12" t="str">
        <f>HYPERLINK("https://drive.google.com/file/d/1Zw7dm2_bzUY01ZF0EsNWElvG843yg5WR/view?usp=drivesdk","Grenadier the Smiling Senshi JumpChain.pdf")</f>
        <v>Grenadier the Smiling Senshi JumpChain.pdf</v>
      </c>
      <c r="B3488" s="12" t="str">
        <f t="shared" si="276"/>
        <v>SB Drive/Complete jumps/Alphabetical - F, G, H, I, J</v>
      </c>
    </row>
    <row r="3489">
      <c r="A3489" s="12" t="str">
        <f>HYPERLINK("https://drive.google.com/file/d/1CX1IPVt5A6hALSLy1Q6Ig6iMopM2M9QA/view?usp=drivesdk","Grant Morrison’s 18 Days JumpChain.pdf")</f>
        <v>Grant Morrison’s 18 Days JumpChain.pdf</v>
      </c>
      <c r="B3489" s="12" t="str">
        <f t="shared" si="276"/>
        <v>SB Drive/Complete jumps/Alphabetical - F, G, H, I, J</v>
      </c>
    </row>
    <row r="3490">
      <c r="A3490" s="12" t="str">
        <f>HYPERLINK("https://drive.google.com/file/d/1TAst8IEPiOy5E6MjXCB7ddhAJz1pCQ4L/view?usp=drivesdk","Good Omens JumpChain.pdf")</f>
        <v>Good Omens JumpChain.pdf</v>
      </c>
      <c r="B3490" s="12" t="str">
        <f t="shared" si="276"/>
        <v>SB Drive/Complete jumps/Alphabetical - F, G, H, I, J</v>
      </c>
    </row>
    <row r="3491">
      <c r="A3491" s="12" t="str">
        <f>HYPERLINK("https://drive.google.com/file/d/1P1BnuTGHpidf4S5qLjA2-TvU8N1qhgNQ/view?usp=drivesdk","Godbound JumpChain.pdf")</f>
        <v>Godbound JumpChain.pdf</v>
      </c>
      <c r="B3491" s="12" t="str">
        <f t="shared" si="276"/>
        <v>SB Drive/Complete jumps/Alphabetical - F, G, H, I, J</v>
      </c>
    </row>
    <row r="3492">
      <c r="A3492" s="12" t="str">
        <f>HYPERLINK("https://drive.google.com/file/d/10z6ACMYc_cuIrr5R26jSZ6RtmmO94ae5/view?usp=drivesdk","Godhand JumpChain (SB Reddit Edition).pdf")</f>
        <v>Godhand JumpChain (SB Reddit Edition).pdf</v>
      </c>
      <c r="B3492" s="12" t="str">
        <f t="shared" si="276"/>
        <v>SB Drive/Complete jumps/Alphabetical - F, G, H, I, J</v>
      </c>
    </row>
    <row r="3493">
      <c r="A3493" s="12" t="str">
        <f>HYPERLINK("https://drive.google.com/file/d/1TKzr6lsMw22lgXc5feaP0zE50QqBiJ7C/view?usp=drivesdk","Girl Genius JumpChain.pdf")</f>
        <v>Girl Genius JumpChain.pdf</v>
      </c>
      <c r="B3493" s="12" t="str">
        <f t="shared" si="276"/>
        <v>SB Drive/Complete jumps/Alphabetical - F, G, H, I, J</v>
      </c>
    </row>
    <row r="3494">
      <c r="A3494" s="12" t="str">
        <f>HYPERLINK("https://drive.google.com/file/d/1OOBREtV1K9GxhmkhxaO_k2jSSm_9YIAi/view?usp=drivesdk","Ghosts of Mars JumpChain.pdf")</f>
        <v>Ghosts of Mars JumpChain.pdf</v>
      </c>
      <c r="B3494" s="12" t="str">
        <f t="shared" si="276"/>
        <v>SB Drive/Complete jumps/Alphabetical - F, G, H, I, J</v>
      </c>
    </row>
    <row r="3495">
      <c r="A3495" s="12" t="str">
        <f>HYPERLINK("https://drive.google.com/file/d/1RoNkqA3yM1kRXyYcUV75wCjuynhAVnsN/view?usp=drivesdk","GemCraft - Frostborn Wrath JumpChain.pdf")</f>
        <v>GemCraft - Frostborn Wrath JumpChain.pdf</v>
      </c>
      <c r="B3495" s="12" t="str">
        <f t="shared" si="276"/>
        <v>SB Drive/Complete jumps/Alphabetical - F, G, H, I, J</v>
      </c>
    </row>
    <row r="3496">
      <c r="A3496" s="12" t="str">
        <f>HYPERLINK("https://drive.google.com/file/d/0B_0lAU63uuKoQWRmT3pQZ2o5Mnc/view?usp=drivesdk&amp;resourcekey=0-m1ZDOmapQPuIbWAJrSaIuQ","GaoGaiGar JumpChain.pdf")</f>
        <v>GaoGaiGar JumpChain.pdf</v>
      </c>
      <c r="B3496" s="12" t="str">
        <f t="shared" si="276"/>
        <v>SB Drive/Complete jumps/Alphabetical - F, G, H, I, J</v>
      </c>
    </row>
    <row r="3497">
      <c r="A3497" s="12" t="str">
        <f>HYPERLINK("https://drive.google.com/file/d/1vG3RrElvr0oSg-MhmAL-CmjszM7EcWpk/view?usp=drivesdk","Galavant JumpChain.pdf")</f>
        <v>Galavant JumpChain.pdf</v>
      </c>
      <c r="B3497" s="12" t="str">
        <f t="shared" si="276"/>
        <v>SB Drive/Complete jumps/Alphabetical - F, G, H, I, J</v>
      </c>
    </row>
    <row r="3498">
      <c r="A3498" s="12" t="str">
        <f>HYPERLINK("https://drive.google.com/file/d/1XxnghVS9Joi343uKUXz4UXRFVLU8F0JH/view?usp=drivesdk","Galactic Civilizations II JumpChain.pdf")</f>
        <v>Galactic Civilizations II JumpChain.pdf</v>
      </c>
      <c r="B3498" s="12" t="str">
        <f t="shared" si="276"/>
        <v>SB Drive/Complete jumps/Alphabetical - F, G, H, I, J</v>
      </c>
    </row>
    <row r="3499">
      <c r="A3499" s="12" t="str">
        <f>HYPERLINK("https://drive.google.com/file/d/1csIaVptnlHcQQqutRbk-UdjCTTv13rlg/view?usp=drivesdk","Furby Island JumpChain.pdf")</f>
        <v>Furby Island JumpChain.pdf</v>
      </c>
      <c r="B3499" s="12" t="str">
        <f t="shared" si="276"/>
        <v>SB Drive/Complete jumps/Alphabetical - F, G, H, I, J</v>
      </c>
    </row>
    <row r="3500">
      <c r="A3500" s="12" t="str">
        <f>HYPERLINK("https://drive.google.com/file/d/1mJqZ0OgKugHjYKFSb3GqlgG4nvWmdCKB/view?usp=drivesdk","Full Metal Panic! Fight! Who Dares Wins JumpChain.pdf")</f>
        <v>Full Metal Panic! Fight! Who Dares Wins JumpChain.pdf</v>
      </c>
      <c r="B3500" s="12" t="str">
        <f t="shared" si="276"/>
        <v>SB Drive/Complete jumps/Alphabetical - F, G, H, I, J</v>
      </c>
    </row>
    <row r="3501">
      <c r="A3501" s="12" t="str">
        <f>HYPERLINK("https://drive.google.com/file/d/186xB7DshAwHNdmADFAM7xpEmNL9MA9sz/view?usp=drivesdk","Full Metal Alchemist JumpChain.pdf")</f>
        <v>Full Metal Alchemist JumpChain.pdf</v>
      </c>
      <c r="B3501" s="12" t="str">
        <f t="shared" si="276"/>
        <v>SB Drive/Complete jumps/Alphabetical - F, G, H, I, J</v>
      </c>
    </row>
    <row r="3502">
      <c r="A3502" s="12" t="str">
        <f>HYPERLINK("https://drive.google.com/file/d/15FVdLmh_tDz8UN7Qvu3qecPtiPW3wTYv/view?usp=drivesdk","Freefall JumpChain.pdf")</f>
        <v>Freefall JumpChain.pdf</v>
      </c>
      <c r="B3502" s="12" t="str">
        <f t="shared" si="276"/>
        <v>SB Drive/Complete jumps/Alphabetical - F, G, H, I, J</v>
      </c>
    </row>
    <row r="3503">
      <c r="A3503" s="12" t="str">
        <f>HYPERLINK("https://drive.google.com/file/d/1tjWkjeIT2drJv0SFBNJhelupB0o1K2I1/view?usp=drivesdk","Fire Emblem: Awakening JumpChain (SB Edition).pdf")</f>
        <v>Fire Emblem: Awakening JumpChain (SB Edition).pdf</v>
      </c>
      <c r="B3503" s="12" t="str">
        <f t="shared" si="276"/>
        <v>SB Drive/Complete jumps/Alphabetical - F, G, H, I, J</v>
      </c>
    </row>
    <row r="3504">
      <c r="A3504" s="12" t="str">
        <f>HYPERLINK("https://drive.google.com/file/d/14W4FExgVZCD4MybPQQgNiEDeO18FXtjQ/view?usp=drivesdk","Ferris Bueller’s Day Off JumpChain.pdf")</f>
        <v>Ferris Bueller’s Day Off JumpChain.pdf</v>
      </c>
      <c r="B3504" s="12" t="str">
        <f t="shared" si="276"/>
        <v>SB Drive/Complete jumps/Alphabetical - F, G, H, I, J</v>
      </c>
    </row>
    <row r="3505">
      <c r="A3505" s="12" t="str">
        <f>HYPERLINK("https://drive.google.com/file/d/1igXwIEuoleAQeEZNiAwGoMO-PvBS1WGm/view?usp=drivesdk","Family Matters JumpChain.pdf")</f>
        <v>Family Matters JumpChain.pdf</v>
      </c>
      <c r="B3505" s="12" t="str">
        <f t="shared" si="276"/>
        <v>SB Drive/Complete jumps/Alphabetical - F, G, H, I, J</v>
      </c>
    </row>
    <row r="3506">
      <c r="A3506" s="12" t="str">
        <f>HYPERLINK("https://drive.google.com/file/d/19AfLhXnMj-6tHodUc0_vcnMGlX6ryLzs/view?usp=drivesdk","Fablehaven JumpChain.pdf")</f>
        <v>Fablehaven JumpChain.pdf</v>
      </c>
      <c r="B3506" s="12" t="str">
        <f t="shared" si="276"/>
        <v>SB Drive/Complete jumps/Alphabetical - F, G, H, I, J</v>
      </c>
    </row>
    <row r="3507">
      <c r="A3507" s="12" t="str">
        <f>HYPERLINK("https://drive.google.com/file/d/1NZQXIJ7PHJ41K0UmmezyElVx9qtCWQaM/view?usp=drivesdk","Glee (TV Series) JumpChain.pdf")</f>
        <v>Glee (TV Series) JumpChain.pdf</v>
      </c>
      <c r="B3507" s="12" t="str">
        <f t="shared" si="276"/>
        <v>SB Drive/Complete jumps/Alphabetical - F, G, H, I, J</v>
      </c>
    </row>
    <row r="3508">
      <c r="A3508" s="12" t="str">
        <f>HYPERLINK("https://drive.google.com/file/d/16j9zlZC3Vt4xzKJ3cBjC6lqC_Jq-ZlFA/view?usp=drivesdk","Girls' Frontline JumpChain.pdf")</f>
        <v>Girls' Frontline JumpChain.pdf</v>
      </c>
      <c r="B3508" s="12" t="str">
        <f t="shared" si="276"/>
        <v>SB Drive/Complete jumps/Alphabetical - F, G, H, I, J</v>
      </c>
    </row>
    <row r="3509">
      <c r="A3509" s="12" t="str">
        <f>HYPERLINK("https://drive.google.com/file/d/1xu2C-W6O81EcuyT54jgcOBJxm8Wnug_I/view?usp=drivesdk","Civilizaton: Beyond Earth JumpChain.pdf")</f>
        <v>Civilizaton: Beyond Earth JumpChain.pdf</v>
      </c>
      <c r="B3509" s="12" t="str">
        <f t="shared" ref="B3509:B3594" si="277">HYPERLINK("https://drive.google.com/drive/folders/1ZAafJJUSBRK7zRAEKFEWE-Og-p4IhZOw","SB Drive/Complete jumps/Alphabetical - A, B, C, D, E")</f>
        <v>SB Drive/Complete jumps/Alphabetical - A, B, C, D, E</v>
      </c>
    </row>
    <row r="3510">
      <c r="A3510" s="12" t="str">
        <f>HYPERLINK("https://drive.google.com/file/d/1rOXXA6pCSwbEursua8Ul-98-c6h9mL_z/view?usp=drivesdk","Dragon Ball FighterZ JumpChain.pdf")</f>
        <v>Dragon Ball FighterZ JumpChain.pdf</v>
      </c>
      <c r="B3510" s="12" t="str">
        <f t="shared" si="277"/>
        <v>SB Drive/Complete jumps/Alphabetical - A, B, C, D, E</v>
      </c>
    </row>
    <row r="3511">
      <c r="A3511" s="12" t="str">
        <f>HYPERLINK("https://drive.google.com/file/d/1CVS1tsjOZCZNQEnkwi1S38cqagr9okQy/view?usp=drivesdk","Civilization V JumpChain.pdf")</f>
        <v>Civilization V JumpChain.pdf</v>
      </c>
      <c r="B3511" s="12" t="str">
        <f t="shared" si="277"/>
        <v>SB Drive/Complete jumps/Alphabetical - A, B, C, D, E</v>
      </c>
    </row>
    <row r="3512">
      <c r="A3512" s="12" t="str">
        <f>HYPERLINK("https://drive.google.com/file/d/1p9TUQ5zfAFdF1-ARTJqUuayA2cA4FJwy/view?usp=drivesdk","Chaos Rings JumpChain.pdf")</f>
        <v>Chaos Rings JumpChain.pdf</v>
      </c>
      <c r="B3512" s="12" t="str">
        <f t="shared" si="277"/>
        <v>SB Drive/Complete jumps/Alphabetical - A, B, C, D, E</v>
      </c>
    </row>
    <row r="3513">
      <c r="A3513" s="12" t="str">
        <f>HYPERLINK("https://drive.google.com/file/d/19B02dyP6fgcOrBmYgkrVwe9hWBAmnEfk/view?usp=drivesdk","Centaurworld JumpChain.pdf")</f>
        <v>Centaurworld JumpChain.pdf</v>
      </c>
      <c r="B3513" s="12" t="str">
        <f t="shared" si="277"/>
        <v>SB Drive/Complete jumps/Alphabetical - A, B, C, D, E</v>
      </c>
    </row>
    <row r="3514">
      <c r="A3514" s="12" t="str">
        <f>HYPERLINK("https://drive.google.com/file/d/1M2Dj_WKx4sEjLej9Upn1P52eKzPl5vV1/view?usp=drivesdk","Age of Sail JumpChain.pdf")</f>
        <v>Age of Sail JumpChain.pdf</v>
      </c>
      <c r="B3514" s="12" t="str">
        <f t="shared" si="277"/>
        <v>SB Drive/Complete jumps/Alphabetical - A, B, C, D, E</v>
      </c>
    </row>
    <row r="3515">
      <c r="A3515" s="12" t="str">
        <f>HYPERLINK("https://drive.google.com/file/d/1BJog8QyhKX6SoUyLbEFBzJR88r6Sfkgt/view?usp=drivesdk","Bofuri JumpChain.pdf")</f>
        <v>Bofuri JumpChain.pdf</v>
      </c>
      <c r="B3515" s="12" t="str">
        <f t="shared" si="277"/>
        <v>SB Drive/Complete jumps/Alphabetical - A, B, C, D, E</v>
      </c>
    </row>
    <row r="3516">
      <c r="A3516" s="12" t="str">
        <f>HYPERLINK("https://drive.google.com/file/d/1MsZ0OROPy6pVrUPSNmng9WM7YPl4hpcx/view?usp=drivesdk","Endless Space JumpChain.pdf")</f>
        <v>Endless Space JumpChain.pdf</v>
      </c>
      <c r="B3516" s="12" t="str">
        <f t="shared" si="277"/>
        <v>SB Drive/Complete jumps/Alphabetical - A, B, C, D, E</v>
      </c>
    </row>
    <row r="3517">
      <c r="A3517" s="12" t="str">
        <f>HYPERLINK("https://drive.google.com/file/d/1nu-IJMYkcTkCVTmjFwUNTt2VIG3Pq1nS/view?usp=drivesdk","BlackChain JumpChain.pdf")</f>
        <v>BlackChain JumpChain.pdf</v>
      </c>
      <c r="B3517" s="12" t="str">
        <f t="shared" si="277"/>
        <v>SB Drive/Complete jumps/Alphabetical - A, B, C, D, E</v>
      </c>
    </row>
    <row r="3518">
      <c r="A3518" s="12" t="str">
        <f>HYPERLINK("https://drive.google.com/file/d/1-2comxuY4tJyJsEVIBltGwY8k5j9lZ7Z/view?usp=drivesdk","Age of Empires III: Wars of Liberty JumpChain.pdf")</f>
        <v>Age of Empires III: Wars of Liberty JumpChain.pdf</v>
      </c>
      <c r="B3518" s="12" t="str">
        <f t="shared" si="277"/>
        <v>SB Drive/Complete jumps/Alphabetical - A, B, C, D, E</v>
      </c>
    </row>
    <row r="3519">
      <c r="A3519" s="12" t="str">
        <f>HYPERLINK("https://drive.google.com/file/d/1IpJCbwxfwKBxU2YqTJgE_fNSL-ddhj8D/view?usp=drivesdk","Blackadder JumpChain.pdf")</f>
        <v>Blackadder JumpChain.pdf</v>
      </c>
      <c r="B3519" s="12" t="str">
        <f t="shared" si="277"/>
        <v>SB Drive/Complete jumps/Alphabetical - A, B, C, D, E</v>
      </c>
    </row>
    <row r="3520">
      <c r="A3520" s="12" t="str">
        <f>HYPERLINK("https://drive.google.com/file/d/1893cOXo6CPX1wT5UfDlYMcCkelj1Qz1s/view?usp=drivesdk","Dragon Ball Z JumpChain (SB version).pdf")</f>
        <v>Dragon Ball Z JumpChain (SB version).pdf</v>
      </c>
      <c r="B3520" s="12" t="str">
        <f t="shared" si="277"/>
        <v>SB Drive/Complete jumps/Alphabetical - A, B, C, D, E</v>
      </c>
    </row>
    <row r="3521">
      <c r="A3521" s="12" t="str">
        <f>HYPERLINK("https://drive.google.com/file/d/1oNNOMOKrNRqfl4mXA5rmzMgxCXCT25CT/view?usp=drivesdk","Evil Zone JumpChain.pdf")</f>
        <v>Evil Zone JumpChain.pdf</v>
      </c>
      <c r="B3521" s="12" t="str">
        <f t="shared" si="277"/>
        <v>SB Drive/Complete jumps/Alphabetical - A, B, C, D, E</v>
      </c>
    </row>
    <row r="3522">
      <c r="A3522" s="12" t="str">
        <f>HYPERLINK("https://drive.google.com/file/d/1PuxbVV9_M_ND7FHuZ6wGyg87bNV6tI5d/view?usp=drivesdk","Essence JumpChain.pdf")</f>
        <v>Essence JumpChain.pdf</v>
      </c>
      <c r="B3522" s="12" t="str">
        <f t="shared" si="277"/>
        <v>SB Drive/Complete jumps/Alphabetical - A, B, C, D, E</v>
      </c>
    </row>
    <row r="3523">
      <c r="A3523" s="12" t="str">
        <f>HYPERLINK("https://drive.google.com/file/d/15kEeQEfMTol6hri47f2Fi2aQMeC832eA/view?usp=drivesdk","Empire of Man (Marduk) JumpChain.pdf")</f>
        <v>Empire of Man (Marduk) JumpChain.pdf</v>
      </c>
      <c r="B3523" s="12" t="str">
        <f t="shared" si="277"/>
        <v>SB Drive/Complete jumps/Alphabetical - A, B, C, D, E</v>
      </c>
    </row>
    <row r="3524">
      <c r="A3524" s="12" t="str">
        <f>HYPERLINK("https://drive.google.com/file/d/1z3f2NNKHqnWMehG7ftwLK3_gc8F5NJ1-/view?usp=drivesdk","Empire from the Ashes JumpChain.pdf")</f>
        <v>Empire from the Ashes JumpChain.pdf</v>
      </c>
      <c r="B3524" s="12" t="str">
        <f t="shared" si="277"/>
        <v>SB Drive/Complete jumps/Alphabetical - A, B, C, D, E</v>
      </c>
    </row>
    <row r="3525">
      <c r="A3525" s="12" t="str">
        <f>HYPERLINK("https://drive.google.com/file/d/1TQ3Ukrid8HhxH_6z97_HDCFbcwUK4XaU/view?usp=drivesdk","Earthbound JumpChain.pdf")</f>
        <v>Earthbound JumpChain.pdf</v>
      </c>
      <c r="B3525" s="12" t="str">
        <f t="shared" si="277"/>
        <v>SB Drive/Complete jumps/Alphabetical - A, B, C, D, E</v>
      </c>
    </row>
    <row r="3526">
      <c r="A3526" s="12" t="str">
        <f>HYPERLINK("https://drive.google.com/file/d/1Zw9OF8xIGAdF--eOVZUa0guadsAU5JF5/view?usp=drivesdk","E.Y.E Divine Cybermancy JumpChain.pdf")</f>
        <v>E.Y.E Divine Cybermancy JumpChain.pdf</v>
      </c>
      <c r="B3526" s="12" t="str">
        <f t="shared" si="277"/>
        <v>SB Drive/Complete jumps/Alphabetical - A, B, C, D, E</v>
      </c>
    </row>
    <row r="3527">
      <c r="A3527" s="12" t="str">
        <f>HYPERLINK("https://drive.google.com/file/d/1i3h9j7Ss3eEEjLMs1Q75LCxa8rckGkoT/view?usp=drivesdk","Dual! Parallel Trouble Adventures JumpChain.pdf")</f>
        <v>Dual! Parallel Trouble Adventures JumpChain.pdf</v>
      </c>
      <c r="B3527" s="12" t="str">
        <f t="shared" si="277"/>
        <v>SB Drive/Complete jumps/Alphabetical - A, B, C, D, E</v>
      </c>
    </row>
    <row r="3528">
      <c r="A3528" s="12" t="str">
        <f>HYPERLINK("https://drive.google.com/file/d/14GSn-beMKIBdhlQIfcvJEfN8xA08cFtv/view?usp=drivesdk","Dread Nation JumpChain.pdf")</f>
        <v>Dread Nation JumpChain.pdf</v>
      </c>
      <c r="B3528" s="12" t="str">
        <f t="shared" si="277"/>
        <v>SB Drive/Complete jumps/Alphabetical - A, B, C, D, E</v>
      </c>
    </row>
    <row r="3529">
      <c r="A3529" s="12" t="str">
        <f>HYPERLINK("https://drive.google.com/file/d/1phj1q1fofFCAf5BG9jIt_87lXRmynwV5/view?usp=drivesdk","Draka Series JumpChain.pdf")</f>
        <v>Draka Series JumpChain.pdf</v>
      </c>
      <c r="B3529" s="12" t="str">
        <f t="shared" si="277"/>
        <v>SB Drive/Complete jumps/Alphabetical - A, B, C, D, E</v>
      </c>
    </row>
    <row r="3530">
      <c r="A3530" s="12" t="str">
        <f>HYPERLINK("https://drive.google.com/file/d/1fuR2Rd06GiRspvvn14z1uNbILyEhqToq/view?usp=drivesdk","Dracula Untold JumpChain.pdf")</f>
        <v>Dracula Untold JumpChain.pdf</v>
      </c>
      <c r="B3530" s="12" t="str">
        <f t="shared" si="277"/>
        <v>SB Drive/Complete jumps/Alphabetical - A, B, C, D, E</v>
      </c>
    </row>
    <row r="3531">
      <c r="A3531" s="12" t="str">
        <f>HYPERLINK("https://drive.google.com/file/d/17FimO7ccAghBTTsihpTQEnVVR-nLRqJL/view?usp=drivesdk","Doom 3 JumpChain.pdf")</f>
        <v>Doom 3 JumpChain.pdf</v>
      </c>
      <c r="B3531" s="12" t="str">
        <f t="shared" si="277"/>
        <v>SB Drive/Complete jumps/Alphabetical - A, B, C, D, E</v>
      </c>
    </row>
    <row r="3532">
      <c r="A3532" s="12" t="str">
        <f>HYPERLINK("https://drive.google.com/file/d/0B_TqZboetruwNWJubHRuZDkwLWs/view?usp=drivesdk&amp;resourcekey=0-PR95uDZGdz7ckvggGxiQXQ","Donkey Kong Country JumpChain.pdf")</f>
        <v>Donkey Kong Country JumpChain.pdf</v>
      </c>
      <c r="B3532" s="12" t="str">
        <f t="shared" si="277"/>
        <v>SB Drive/Complete jumps/Alphabetical - A, B, C, D, E</v>
      </c>
    </row>
    <row r="3533">
      <c r="A3533" s="12" t="str">
        <f>HYPERLINK("https://drive.google.com/file/d/1oZc4EM7eEyGj7nP4Zb-DKMJw4I_Froux/view?usp=drivesdk","Doctor Who JumpChain.pdf")</f>
        <v>Doctor Who JumpChain.pdf</v>
      </c>
      <c r="B3533" s="12" t="str">
        <f t="shared" si="277"/>
        <v>SB Drive/Complete jumps/Alphabetical - A, B, C, D, E</v>
      </c>
    </row>
    <row r="3534">
      <c r="A3534" s="12" t="str">
        <f>HYPERLINK("https://drive.google.com/file/d/1aFU1EEi4bbA0-y5f1Rf25h988B61_4ko/view?usp=drivesdk","Dinotrux JumpChain.pdf")</f>
        <v>Dinotrux JumpChain.pdf</v>
      </c>
      <c r="B3534" s="12" t="str">
        <f t="shared" si="277"/>
        <v>SB Drive/Complete jumps/Alphabetical - A, B, C, D, E</v>
      </c>
    </row>
    <row r="3535">
      <c r="A3535" s="12" t="str">
        <f>HYPERLINK("https://drive.google.com/file/d/1Rz69kHcFj8e0O4cVMBsaIBqGPmC9hj51/view?usp=drivesdk","Dinotopia (Books) JumpChain.pdf")</f>
        <v>Dinotopia (Books) JumpChain.pdf</v>
      </c>
      <c r="B3535" s="12" t="str">
        <f t="shared" si="277"/>
        <v>SB Drive/Complete jumps/Alphabetical - A, B, C, D, E</v>
      </c>
    </row>
    <row r="3536">
      <c r="A3536" s="12" t="str">
        <f>HYPERLINK("https://drive.google.com/file/d/1yDZOaeiF3UMij0RkuXY4UFsYfvVXejEC/view?usp=drivesdk","Dinosaur King JumpChain.pdf")</f>
        <v>Dinosaur King JumpChain.pdf</v>
      </c>
      <c r="B3536" s="12" t="str">
        <f t="shared" si="277"/>
        <v>SB Drive/Complete jumps/Alphabetical - A, B, C, D, E</v>
      </c>
    </row>
    <row r="3537">
      <c r="A3537" s="12" t="str">
        <f>HYPERLINK("https://drive.google.com/file/d/1kSE0BxKbQnHfwNipZM5TMXcXl_NVHl0x/view?usp=drivesdk","Dark Lord of Derkholm JumpChain.pdf")</f>
        <v>Dark Lord of Derkholm JumpChain.pdf</v>
      </c>
      <c r="B3537" s="12" t="str">
        <f t="shared" si="277"/>
        <v>SB Drive/Complete jumps/Alphabetical - A, B, C, D, E</v>
      </c>
    </row>
    <row r="3538">
      <c r="A3538" s="12" t="str">
        <f>HYPERLINK("https://drive.google.com/file/d/1RUoRtRIBe3B7AzeNEg4F7rpmKqeFYrOP/view?usp=drivesdk","Daniel Black Series JumpChain.pdf")</f>
        <v>Daniel Black Series JumpChain.pdf</v>
      </c>
      <c r="B3538" s="12" t="str">
        <f t="shared" si="277"/>
        <v>SB Drive/Complete jumps/Alphabetical - A, B, C, D, E</v>
      </c>
    </row>
    <row r="3539">
      <c r="A3539" s="12" t="str">
        <f>HYPERLINK("https://drive.google.com/file/d/1ykhSZdX-NBRRAc9LXFQSJpzG3ozPb0mE/view?usp=drivesdk","Dad n’ Me JumpChain.pdf")</f>
        <v>Dad n’ Me JumpChain.pdf</v>
      </c>
      <c r="B3539" s="12" t="str">
        <f t="shared" si="277"/>
        <v>SB Drive/Complete jumps/Alphabetical - A, B, C, D, E</v>
      </c>
    </row>
    <row r="3540">
      <c r="A3540" s="12" t="str">
        <f>HYPERLINK("https://drive.google.com/file/d/0By8NY-NO4-N5cDdwWEIxNkxpYUU/view?usp=drivesdk&amp;resourcekey=0-haPUoxGrYUzf4LfEzO0q5Q","Custom Robo JumpChain.pdf")</f>
        <v>Custom Robo JumpChain.pdf</v>
      </c>
      <c r="B3540" s="12" t="str">
        <f t="shared" si="277"/>
        <v>SB Drive/Complete jumps/Alphabetical - A, B, C, D, E</v>
      </c>
    </row>
    <row r="3541">
      <c r="A3541" s="12" t="str">
        <f>HYPERLINK("https://drive.google.com/file/d/1G4lmtWJxoV7Pdox88JV41wHj3mBZnUj6/view?usp=drivesdk","Cultivation Chat Group JumpChain.pdf")</f>
        <v>Cultivation Chat Group JumpChain.pdf</v>
      </c>
      <c r="B3541" s="12" t="str">
        <f t="shared" si="277"/>
        <v>SB Drive/Complete jumps/Alphabetical - A, B, C, D, E</v>
      </c>
    </row>
    <row r="3542">
      <c r="A3542" s="12" t="str">
        <f>HYPERLINK("https://drive.google.com/file/d/16s5sL_5FV5yNtbHX1NvW47KActj8gJWu/view?usp=drivesdk","CthulhuTech JumpChain.pdf")</f>
        <v>CthulhuTech JumpChain.pdf</v>
      </c>
      <c r="B3542" s="12" t="str">
        <f t="shared" si="277"/>
        <v>SB Drive/Complete jumps/Alphabetical - A, B, C, D, E</v>
      </c>
    </row>
    <row r="3543">
      <c r="A3543" s="12" t="str">
        <f>HYPERLINK("https://drive.google.com/file/d/1zc9dzaWX_8hJwXl97zhcvbFMJM6GB_Ko/view?usp=drivesdk","CrossCode JumpChain.pdf")</f>
        <v>CrossCode JumpChain.pdf</v>
      </c>
      <c r="B3543" s="12" t="str">
        <f t="shared" si="277"/>
        <v>SB Drive/Complete jumps/Alphabetical - A, B, C, D, E</v>
      </c>
    </row>
    <row r="3544">
      <c r="A3544" s="12" t="str">
        <f>HYPERLINK("https://drive.google.com/file/d/1uUbWNSdOn9Ic9BYEBRxH0qJ3_5D96aIg/view?usp=drivesdk","Cosmos: A Spacetime Odyssey JumpChain.pdf")</f>
        <v>Cosmos: A Spacetime Odyssey JumpChain.pdf</v>
      </c>
      <c r="B3544" s="12" t="str">
        <f t="shared" si="277"/>
        <v>SB Drive/Complete jumps/Alphabetical - A, B, C, D, E</v>
      </c>
    </row>
    <row r="3545">
      <c r="A3545" s="12" t="str">
        <f>HYPERLINK("https://drive.google.com/file/d/1Egb_7tC5rbdPB4IU9SbER1QBZk54U4BL/view?usp=drivesdk","Control (Remedy Entertainment) JumpChain.pdf")</f>
        <v>Control (Remedy Entertainment) JumpChain.pdf</v>
      </c>
      <c r="B3545" s="12" t="str">
        <f t="shared" si="277"/>
        <v>SB Drive/Complete jumps/Alphabetical - A, B, C, D, E</v>
      </c>
    </row>
    <row r="3546">
      <c r="A3546" s="12" t="str">
        <f>HYPERLINK("https://drive.google.com/file/d/0B5-2fmC98oF_LTA2blY3SW81WlE/view?usp=drivesdk&amp;resourcekey=0-WvVzijS7EkBKCmWD4h25DQ","Cities of the World JumpChain.pdf")</f>
        <v>Cities of the World JumpChain.pdf</v>
      </c>
      <c r="B3546" s="12" t="str">
        <f t="shared" si="277"/>
        <v>SB Drive/Complete jumps/Alphabetical - A, B, C, D, E</v>
      </c>
    </row>
    <row r="3547">
      <c r="A3547" s="12" t="str">
        <f>HYPERLINK("https://drive.google.com/file/d/190JVYompBsnskh-9JaI6HxLFSHqRBq0I/view?usp=drivesdk","Cirque Du Freak JumpChain.pdf")</f>
        <v>Cirque Du Freak JumpChain.pdf</v>
      </c>
      <c r="B3547" s="12" t="str">
        <f t="shared" si="277"/>
        <v>SB Drive/Complete jumps/Alphabetical - A, B, C, D, E</v>
      </c>
    </row>
    <row r="3548">
      <c r="A3548" s="12" t="str">
        <f>HYPERLINK("https://drive.google.com/file/d/1bINXqI-kyZbKcfaH0BPXJMRhxP5Egdj9/view?usp=drivesdk","Circle of Magic JumpChain.pdf")</f>
        <v>Circle of Magic JumpChain.pdf</v>
      </c>
      <c r="B3548" s="12" t="str">
        <f t="shared" si="277"/>
        <v>SB Drive/Complete jumps/Alphabetical - A, B, C, D, E</v>
      </c>
    </row>
    <row r="3549">
      <c r="A3549" s="12" t="str">
        <f>HYPERLINK("https://drive.google.com/file/d/1PjyV6NDLMANKeoGlcOFs-Lfr4Qo_Ov2e/view?usp=drivesdk","Cells At Work JumpChain.pdf")</f>
        <v>Cells At Work JumpChain.pdf</v>
      </c>
      <c r="B3549" s="12" t="str">
        <f t="shared" si="277"/>
        <v>SB Drive/Complete jumps/Alphabetical - A, B, C, D, E</v>
      </c>
    </row>
    <row r="3550">
      <c r="A3550" s="12" t="str">
        <f>HYPERLINK("https://drive.google.com/file/d/1Bw41HFTZK3ewg0_ARm89_Nzuij45pnku/view?usp=drivesdk","Cats of Catthulu JumpChain.pdf")</f>
        <v>Cats of Catthulu JumpChain.pdf</v>
      </c>
      <c r="B3550" s="12" t="str">
        <f t="shared" si="277"/>
        <v>SB Drive/Complete jumps/Alphabetical - A, B, C, D, E</v>
      </c>
    </row>
    <row r="3551">
      <c r="A3551" s="12" t="str">
        <f>HYPERLINK("https://drive.google.com/file/d/126QFpQwOx2H9Y2qfJXKexne4AjcHzfYV/view?usp=drivesdk","Cat Meme JumpChain.pdf")</f>
        <v>Cat Meme JumpChain.pdf</v>
      </c>
      <c r="B3551" s="12" t="str">
        <f t="shared" si="277"/>
        <v>SB Drive/Complete jumps/Alphabetical - A, B, C, D, E</v>
      </c>
    </row>
    <row r="3552">
      <c r="A3552" s="12" t="str">
        <f>HYPERLINK("https://drive.google.com/file/d/1TeikYXcrZPJtRmG_kTytwAeaMlUuynKY/view?usp=drivesdk","Castle Crashers JumpChain.pdf")</f>
        <v>Castle Crashers JumpChain.pdf</v>
      </c>
      <c r="B3552" s="12" t="str">
        <f t="shared" si="277"/>
        <v>SB Drive/Complete jumps/Alphabetical - A, B, C, D, E</v>
      </c>
    </row>
    <row r="3553">
      <c r="A3553" s="12" t="str">
        <f>HYPERLINK("https://drive.google.com/file/d/0By8NY-NO4-N5S3RUU1dGaGNwS1U/view?usp=drivesdk&amp;resourcekey=0-79mHyBpFkk2N4Qn80RdXFA","Candy Box 2 JumpChain.pdf")</f>
        <v>Candy Box 2 JumpChain.pdf</v>
      </c>
      <c r="B3553" s="12" t="str">
        <f t="shared" si="277"/>
        <v>SB Drive/Complete jumps/Alphabetical - A, B, C, D, E</v>
      </c>
    </row>
    <row r="3554">
      <c r="A3554" s="12" t="str">
        <f>HYPERLINK("https://drive.google.com/file/d/1JlfanCJij2iVVGORKZc24o2Oah2XipDp/view?usp=drivesdk","Burn Notice JumpChain.pdf")</f>
        <v>Burn Notice JumpChain.pdf</v>
      </c>
      <c r="B3554" s="12" t="str">
        <f t="shared" si="277"/>
        <v>SB Drive/Complete jumps/Alphabetical - A, B, C, D, E</v>
      </c>
    </row>
    <row r="3555">
      <c r="A3555" s="12" t="str">
        <f>HYPERLINK("https://drive.google.com/file/d/1peyEvxsBFOcc26fiFDr3PoBhGxgVQE4F/view?usp=drivesdk","Bulletstorm JumpChain.pdf")</f>
        <v>Bulletstorm JumpChain.pdf</v>
      </c>
      <c r="B3555" s="12" t="str">
        <f t="shared" si="277"/>
        <v>SB Drive/Complete jumps/Alphabetical - A, B, C, D, E</v>
      </c>
    </row>
    <row r="3556">
      <c r="A3556" s="12" t="str">
        <f>HYPERLINK("https://drive.google.com/file/d/1DJMbSKXSOTWwqyfa4bJDS5OFXaTd0U-0/view?usp=drivesdk","Bugsnax JumpChain.pdf")</f>
        <v>Bugsnax JumpChain.pdf</v>
      </c>
      <c r="B3556" s="12" t="str">
        <f t="shared" si="277"/>
        <v>SB Drive/Complete jumps/Alphabetical - A, B, C, D, E</v>
      </c>
    </row>
    <row r="3557">
      <c r="A3557" s="12" t="str">
        <f>HYPERLINK("https://drive.google.com/file/d/1oDGNeNBZ8Fi4lcSrD0GOFdWhy6kxctQY/view?usp=drivesdk","Buffy the Vampire Slayer &amp; Angel JumpChain (SB Edition).pdf")</f>
        <v>Buffy the Vampire Slayer &amp; Angel JumpChain (SB Edition).pdf</v>
      </c>
      <c r="B3557" s="12" t="str">
        <f t="shared" si="277"/>
        <v>SB Drive/Complete jumps/Alphabetical - A, B, C, D, E</v>
      </c>
    </row>
    <row r="3558">
      <c r="A3558" s="12" t="str">
        <f>HYPERLINK("https://drive.google.com/file/d/1w-__WQP1TBi2a5GkK-8wJ6COln0OQ1V2/view?usp=drivesdk","Borderlands 3 JumpChain.pdf")</f>
        <v>Borderlands 3 JumpChain.pdf</v>
      </c>
      <c r="B3558" s="12" t="str">
        <f t="shared" si="277"/>
        <v>SB Drive/Complete jumps/Alphabetical - A, B, C, D, E</v>
      </c>
    </row>
    <row r="3559">
      <c r="A3559" s="12" t="str">
        <f>HYPERLINK("https://drive.google.com/file/d/0By8NY-NO4-N5dkZ5WGlOc0xodmM/view?usp=drivesdk&amp;resourcekey=0-ZRtRRxXw2_ESvKBIYG6EzQ","Bone JumpChain.pdf")</f>
        <v>Bone JumpChain.pdf</v>
      </c>
      <c r="B3559" s="12" t="str">
        <f t="shared" si="277"/>
        <v>SB Drive/Complete jumps/Alphabetical - A, B, C, D, E</v>
      </c>
    </row>
    <row r="3560">
      <c r="A3560" s="12" t="str">
        <f>HYPERLINK("https://drive.google.com/file/d/0By8NY-NO4-N5RmlmZ01CdmFxcFk/view?usp=drivesdk&amp;resourcekey=0-Z6t0-PeRwz52u_4Ai8lsfQ","Bloons JumpChain.pdf")</f>
        <v>Bloons JumpChain.pdf</v>
      </c>
      <c r="B3560" s="12" t="str">
        <f t="shared" si="277"/>
        <v>SB Drive/Complete jumps/Alphabetical - A, B, C, D, E</v>
      </c>
    </row>
    <row r="3561">
      <c r="A3561" s="12" t="str">
        <f>HYPERLINK("https://drive.google.com/file/d/1BKRTwwB5RJNgDLnbvW4TJuzNBa80Aiul/view?usp=drivesdk","Blockheads JumpChain.pdf")</f>
        <v>Blockheads JumpChain.pdf</v>
      </c>
      <c r="B3561" s="12" t="str">
        <f t="shared" si="277"/>
        <v>SB Drive/Complete jumps/Alphabetical - A, B, C, D, E</v>
      </c>
    </row>
    <row r="3562">
      <c r="A3562" s="12" t="str">
        <f>HYPERLINK("https://drive.google.com/file/d/1BBwz7aiebtv7ilahY1XXeD2HrMxcB5KQ/view?usp=drivesdk","Blazing Saddles JumpChain.pdf")</f>
        <v>Blazing Saddles JumpChain.pdf</v>
      </c>
      <c r="B3562" s="12" t="str">
        <f t="shared" si="277"/>
        <v>SB Drive/Complete jumps/Alphabetical - A, B, C, D, E</v>
      </c>
    </row>
    <row r="3563">
      <c r="A3563" s="12" t="str">
        <f>HYPERLINK("https://drive.google.com/file/d/1L6R7fJZLfaG9XYBAIp4kfGEja_Px2ALk/view?usp=drivesdk","Big Trouble In Little China JumpChain.pdf")</f>
        <v>Big Trouble In Little China JumpChain.pdf</v>
      </c>
      <c r="B3563" s="12" t="str">
        <f t="shared" si="277"/>
        <v>SB Drive/Complete jumps/Alphabetical - A, B, C, D, E</v>
      </c>
    </row>
    <row r="3564">
      <c r="A3564" s="12" t="str">
        <f>HYPERLINK("https://drive.google.com/file/d/1bw6vhHWRzsrqkLF5IZAUiTut93dizt4n/view?usp=drivesdk","Beetlejuice the Musical JumpChain.pdf")</f>
        <v>Beetlejuice the Musical JumpChain.pdf</v>
      </c>
      <c r="B3564" s="12" t="str">
        <f t="shared" si="277"/>
        <v>SB Drive/Complete jumps/Alphabetical - A, B, C, D, E</v>
      </c>
    </row>
    <row r="3565">
      <c r="A3565" s="12" t="str">
        <f>HYPERLINK("https://drive.google.com/file/d/13vfndlF9yu1WKYAcHi2-QZQbkyxOfR6H/view?usp=drivesdk","Battle Realms JumpChain.pdf")</f>
        <v>Battle Realms JumpChain.pdf</v>
      </c>
      <c r="B3565" s="12" t="str">
        <f t="shared" si="277"/>
        <v>SB Drive/Complete jumps/Alphabetical - A, B, C, D, E</v>
      </c>
    </row>
    <row r="3566">
      <c r="A3566" s="12" t="str">
        <f>HYPERLINK("https://drive.google.com/file/d/1rv26tO4PCfObOXJZYUsoT3tYc_MkMTCd/view?usp=drivesdk","Bastard!! JumpChain.pdf")</f>
        <v>Bastard!! JumpChain.pdf</v>
      </c>
      <c r="B3566" s="12" t="str">
        <f t="shared" si="277"/>
        <v>SB Drive/Complete jumps/Alphabetical - A, B, C, D, E</v>
      </c>
    </row>
    <row r="3567">
      <c r="A3567" s="12" t="str">
        <f>HYPERLINK("https://drive.google.com/file/d/1ay28qx17zBkvSJosfVC7u-ScPPjORlQK/view?usp=drivesdk","Bartimaeus Sequence JumpChain.pdf")</f>
        <v>Bartimaeus Sequence JumpChain.pdf</v>
      </c>
      <c r="B3567" s="12" t="str">
        <f t="shared" si="277"/>
        <v>SB Drive/Complete jumps/Alphabetical - A, B, C, D, E</v>
      </c>
    </row>
    <row r="3568">
      <c r="A3568" s="12" t="str">
        <f>HYPERLINK("https://drive.google.com/file/d/1bxj-77yYmQbIQrxKE0vnEkz0hCamjU5a/view?usp=drivesdk","Back to the Future JumpChain.pdf")</f>
        <v>Back to the Future JumpChain.pdf</v>
      </c>
      <c r="B3568" s="12" t="str">
        <f t="shared" si="277"/>
        <v>SB Drive/Complete jumps/Alphabetical - A, B, C, D, E</v>
      </c>
    </row>
    <row r="3569">
      <c r="A3569" s="12" t="str">
        <f>HYPERLINK("https://drive.google.com/file/d/0By8NY-NO4-N5TGcteDNpdjlMUHc/view?usp=drivesdk&amp;resourcekey=0-93JBm2bXzC3nEXDHfQZpYA","Babylon 5 Crusade JumpChain.pdf")</f>
        <v>Babylon 5 Crusade JumpChain.pdf</v>
      </c>
      <c r="B3569" s="12" t="str">
        <f t="shared" si="277"/>
        <v>SB Drive/Complete jumps/Alphabetical - A, B, C, D, E</v>
      </c>
    </row>
    <row r="3570">
      <c r="A3570" s="12" t="str">
        <f>HYPERLINK("https://drive.google.com/file/d/0By8NY-NO4-N5MzFwRGRKVDB4NmM/view?usp=drivesdk&amp;resourcekey=0-cngljFI6j09ca68MuZ_fcQ","Asterix the Gaul JumpChain.pdf")</f>
        <v>Asterix the Gaul JumpChain.pdf</v>
      </c>
      <c r="B3570" s="12" t="str">
        <f t="shared" si="277"/>
        <v>SB Drive/Complete jumps/Alphabetical - A, B, C, D, E</v>
      </c>
    </row>
    <row r="3571">
      <c r="A3571" s="12" t="str">
        <f>HYPERLINK("https://drive.google.com/file/d/1B5mnZM8vTBsWOvEEg9pc0AAL06T-IYaQ/view?usp=drivesdk","Assassin's Creed Odyssey JumpChain.pdf")</f>
        <v>Assassin's Creed Odyssey JumpChain.pdf</v>
      </c>
      <c r="B3571" s="12" t="str">
        <f t="shared" si="277"/>
        <v>SB Drive/Complete jumps/Alphabetical - A, B, C, D, E</v>
      </c>
    </row>
    <row r="3572">
      <c r="A3572" s="12" t="str">
        <f>HYPERLINK("https://drive.google.com/file/d/1-z2fcPt1CYAA6wChnj5jOwyF64v-znh4/view?usp=drivesdk","Artemis Fowl JumpChain.pdf")</f>
        <v>Artemis Fowl JumpChain.pdf</v>
      </c>
      <c r="B3572" s="12" t="str">
        <f t="shared" si="277"/>
        <v>SB Drive/Complete jumps/Alphabetical - A, B, C, D, E</v>
      </c>
    </row>
    <row r="3573">
      <c r="A3573" s="12" t="str">
        <f>HYPERLINK("https://drive.google.com/file/d/1JCVAKZ0ndewAzXpDqatRDsCb88cxHnmM/view?usp=drivesdk","Arcanum: Of Steamworks And Magic Obscura JumpChain.pdf")</f>
        <v>Arcanum: Of Steamworks And Magic Obscura JumpChain.pdf</v>
      </c>
      <c r="B3573" s="12" t="str">
        <f t="shared" si="277"/>
        <v>SB Drive/Complete jumps/Alphabetical - A, B, C, D, E</v>
      </c>
    </row>
    <row r="3574">
      <c r="A3574" s="12" t="str">
        <f>HYPERLINK("https://drive.google.com/file/d/18luctB0IA0aNIO8QsP8bfcWKVJesjqAs/view?usp=drivesdk","Apocalyptica JumpChain.pdf")</f>
        <v>Apocalyptica JumpChain.pdf</v>
      </c>
      <c r="B3574" s="12" t="str">
        <f t="shared" si="277"/>
        <v>SB Drive/Complete jumps/Alphabetical - A, B, C, D, E</v>
      </c>
    </row>
    <row r="3575">
      <c r="A3575" s="12" t="str">
        <f>HYPERLINK("https://drive.google.com/file/d/0By8NY-NO4-N5OHlzRGFQWUVNUUk/view?usp=drivesdk&amp;resourcekey=0-wKz_xwGr3OGnjm_vMI3j2A","Anima Beyond Fantasy JumpChain.pdf")</f>
        <v>Anima Beyond Fantasy JumpChain.pdf</v>
      </c>
      <c r="B3575" s="12" t="str">
        <f t="shared" si="277"/>
        <v>SB Drive/Complete jumps/Alphabetical - A, B, C, D, E</v>
      </c>
    </row>
    <row r="3576">
      <c r="A3576" s="12" t="str">
        <f>HYPERLINK("https://drive.google.com/file/d/1vRvO75BnkTFan3canB6LMRgCNP09VhQf/view?usp=drivesdk","American Gods JumpChain.pdf")</f>
        <v>American Gods JumpChain.pdf</v>
      </c>
      <c r="B3576" s="12" t="str">
        <f t="shared" si="277"/>
        <v>SB Drive/Complete jumps/Alphabetical - A, B, C, D, E</v>
      </c>
    </row>
    <row r="3577">
      <c r="A3577" s="12" t="str">
        <f>HYPERLINK("https://drive.google.com/file/d/1lf5Z6Alv9_zsry8H4x-oSJImBIId5Pty/view?usp=drivesdk","Altered Carbon (Netflix Series) JumpChain.pdf")</f>
        <v>Altered Carbon (Netflix Series) JumpChain.pdf</v>
      </c>
      <c r="B3577" s="12" t="str">
        <f t="shared" si="277"/>
        <v>SB Drive/Complete jumps/Alphabetical - A, B, C, D, E</v>
      </c>
    </row>
    <row r="3578">
      <c r="A3578" s="12" t="str">
        <f>HYPERLINK("https://drive.google.com/file/d/1eQDoMN0VCxDaxhrjZ_CqHr2uHwWuqMY0/view?usp=drivesdk","Alien Hominid JumpChain.pdf")</f>
        <v>Alien Hominid JumpChain.pdf</v>
      </c>
      <c r="B3578" s="12" t="str">
        <f t="shared" si="277"/>
        <v>SB Drive/Complete jumps/Alphabetical - A, B, C, D, E</v>
      </c>
    </row>
    <row r="3579">
      <c r="A3579" s="12" t="str">
        <f>HYPERLINK("https://drive.google.com/file/d/1xLpIQFQeRqFJ6S4vwse7B79gqvBqqUc5/view?usp=drivesdk","Aion JumpChain.pdf")</f>
        <v>Aion JumpChain.pdf</v>
      </c>
      <c r="B3579" s="12" t="str">
        <f t="shared" si="277"/>
        <v>SB Drive/Complete jumps/Alphabetical - A, B, C, D, E</v>
      </c>
    </row>
    <row r="3580">
      <c r="A3580" s="12" t="str">
        <f>HYPERLINK("https://drive.google.com/file/d/1bzEMwhG136ZlOBNXUPTSt6c-gA38B4C4/view?usp=drivesdk","Age Of Wonders II JumpChain.pdf")</f>
        <v>Age Of Wonders II JumpChain.pdf</v>
      </c>
      <c r="B3580" s="12" t="str">
        <f t="shared" si="277"/>
        <v>SB Drive/Complete jumps/Alphabetical - A, B, C, D, E</v>
      </c>
    </row>
    <row r="3581">
      <c r="A3581" s="12" t="str">
        <f>HYPERLINK("https://drive.google.com/file/d/1P8UtYZBKwVF3VEfAakZm7Jn7UV3DTG2c/view?usp=drivesdk","Against the Gods JumpChain.pdf")</f>
        <v>Against the Gods JumpChain.pdf</v>
      </c>
      <c r="B3581" s="12" t="str">
        <f t="shared" si="277"/>
        <v>SB Drive/Complete jumps/Alphabetical - A, B, C, D, E</v>
      </c>
    </row>
    <row r="3582">
      <c r="A3582" s="12" t="str">
        <f>HYPERLINK("https://drive.google.com/file/d/1c0voL2e_b2wche0JPgjx8bPNDiOj8ovw/view?usp=drivesdk","Afterlife JumpChain.pdf")</f>
        <v>Afterlife JumpChain.pdf</v>
      </c>
      <c r="B3582" s="12" t="str">
        <f t="shared" si="277"/>
        <v>SB Drive/Complete jumps/Alphabetical - A, B, C, D, E</v>
      </c>
    </row>
    <row r="3583">
      <c r="A3583" s="12" t="str">
        <f>HYPERLINK("https://drive.google.com/file/d/1c1jjrfI-HxKgCerOFA-Zix8QRV1few5A/view?usp=drivesdk","Aeon Universe JumpChain.pdf")</f>
        <v>Aeon Universe JumpChain.pdf</v>
      </c>
      <c r="B3583" s="12" t="str">
        <f t="shared" si="277"/>
        <v>SB Drive/Complete jumps/Alphabetical - A, B, C, D, E</v>
      </c>
    </row>
    <row r="3584">
      <c r="A3584" s="12" t="str">
        <f>HYPERLINK("https://drive.google.com/file/d/11TkuWKAjKqMP6iX5XmlPSfWo-clYJIlB/view?usp=drivesdk","Adventures of Tintin JumpChain.pdf")</f>
        <v>Adventures of Tintin JumpChain.pdf</v>
      </c>
      <c r="B3584" s="12" t="str">
        <f t="shared" si="277"/>
        <v>SB Drive/Complete jumps/Alphabetical - A, B, C, D, E</v>
      </c>
    </row>
    <row r="3585">
      <c r="A3585" s="12" t="str">
        <f>HYPERLINK("https://drive.google.com/file/d/1bLJetHfJG0o3OT8yFNF18SYvpVtj7kgn/view?usp=drivesdk","A.G.G. C.O.R.E. JumpChain.pdf")</f>
        <v>A.G.G. C.O.R.E. JumpChain.pdf</v>
      </c>
      <c r="B3585" s="12" t="str">
        <f t="shared" si="277"/>
        <v>SB Drive/Complete jumps/Alphabetical - A, B, C, D, E</v>
      </c>
    </row>
    <row r="3586">
      <c r="A3586" s="12" t="str">
        <f>HYPERLINK("https://drive.google.com/file/d/1cTwec2U2c983NGzzWr55dKf6I8f8W4X4/view?usp=drivesdk","A Miracle of Science JumpChain.pdf")</f>
        <v>A Miracle of Science JumpChain.pdf</v>
      </c>
      <c r="B3586" s="12" t="str">
        <f t="shared" si="277"/>
        <v>SB Drive/Complete jumps/Alphabetical - A, B, C, D, E</v>
      </c>
    </row>
    <row r="3587">
      <c r="A3587" s="12" t="str">
        <f>HYPERLINK("https://drive.google.com/file/d/1b4QVx4b8Q5fjqEKcg6UI-5GYNJgiXfxY/view?usp=drivesdk","Coiling Dragon (Panlong) JumpChain.pdf")</f>
        <v>Coiling Dragon (Panlong) JumpChain.pdf</v>
      </c>
      <c r="B3587" s="12" t="str">
        <f t="shared" si="277"/>
        <v>SB Drive/Complete jumps/Alphabetical - A, B, C, D, E</v>
      </c>
    </row>
    <row r="3588">
      <c r="A3588" s="12" t="str">
        <f>HYPERLINK("https://drive.google.com/file/d/1i43UOJM5DgO7wKcSyWXcH4RHUIHSQq2a/view?usp=drivesdk","Epic Battle Fantasy JumpChain.pdf")</f>
        <v>Epic Battle Fantasy JumpChain.pdf</v>
      </c>
      <c r="B3588" s="12" t="str">
        <f t="shared" si="277"/>
        <v>SB Drive/Complete jumps/Alphabetical - A, B, C, D, E</v>
      </c>
    </row>
    <row r="3589">
      <c r="A3589" s="12" t="str">
        <f>HYPERLINK("https://drive.google.com/file/d/1OTICeQqfKxbAW51F2UTiwWF-vemLUo9k/view?usp=drivesdk","Death Gate Cycle JumpChain.pdf")</f>
        <v>Death Gate Cycle JumpChain.pdf</v>
      </c>
      <c r="B3589" s="12" t="str">
        <f t="shared" si="277"/>
        <v>SB Drive/Complete jumps/Alphabetical - A, B, C, D, E</v>
      </c>
    </row>
    <row r="3590">
      <c r="A3590" s="12" t="str">
        <f>HYPERLINK("https://drive.google.com/file/d/1-7XHP-jsa_Qeke7x3jw0PKLR29H2tFxz/view?usp=drivesdk","Blood of Zeus JumpChain.pdf")</f>
        <v>Blood of Zeus JumpChain.pdf</v>
      </c>
      <c r="B3590" s="12" t="str">
        <f t="shared" si="277"/>
        <v>SB Drive/Complete jumps/Alphabetical - A, B, C, D, E</v>
      </c>
    </row>
    <row r="3591">
      <c r="A3591" s="12" t="str">
        <f>HYPERLINK("https://drive.google.com/file/d/1jZIbCA36OxCB-8UJY1QO9JyIwxmxDJUe/view?usp=drivesdk","Amalgam Comics JumpChain.pdf")</f>
        <v>Amalgam Comics JumpChain.pdf</v>
      </c>
      <c r="B3591" s="12" t="str">
        <f t="shared" si="277"/>
        <v>SB Drive/Complete jumps/Alphabetical - A, B, C, D, E</v>
      </c>
    </row>
    <row r="3592">
      <c r="A3592" s="12" t="str">
        <f>HYPERLINK("https://drive.google.com/file/d/17W-hQ68RFY1k8LPQupQCBKJPZY2MTgrt/view?usp=drivesdk","Age of Mythology The Expansion JumpChain.pdf")</f>
        <v>Age of Mythology The Expansion JumpChain.pdf</v>
      </c>
      <c r="B3592" s="12" t="str">
        <f t="shared" si="277"/>
        <v>SB Drive/Complete jumps/Alphabetical - A, B, C, D, E</v>
      </c>
    </row>
    <row r="3593">
      <c r="A3593" s="12" t="str">
        <f>HYPERLINK("https://drive.google.com/file/d/191E0jsETmko40Edbvo6dqgNYz7JxxHIl/view?usp=drivesdk","Azeroth Series - Hearthstone Edition JumpChain.pdf")</f>
        <v>Azeroth Series - Hearthstone Edition JumpChain.pdf</v>
      </c>
      <c r="B3593" s="12" t="str">
        <f t="shared" si="277"/>
        <v>SB Drive/Complete jumps/Alphabetical - A, B, C, D, E</v>
      </c>
    </row>
    <row r="3594">
      <c r="A3594" s="12" t="str">
        <f>HYPERLINK("https://drive.google.com/file/d/1wjjRpFZT-u7f5wDBDAnMOldxCsXdbAZi/view?usp=drivesdk","Equilibrium JumpChain.pdf")</f>
        <v>Equilibrium JumpChain.pdf</v>
      </c>
      <c r="B3594" s="12" t="str">
        <f t="shared" si="277"/>
        <v>SB Drive/Complete jumps/Alphabetical - A, B, C, D, E</v>
      </c>
    </row>
    <row r="3595">
      <c r="A3595" s="12" t="str">
        <f>HYPERLINK("https://drive.google.com/file/d/1ClbZMFfHrTFZasLZ6ojQZQwPROyc9EmK/view?usp=drivesdk","Generic GURPS JumpChain.pdf")</f>
        <v>Generic GURPS JumpChain.pdf</v>
      </c>
      <c r="B3595" s="12" t="str">
        <f t="shared" ref="B3595:B3596" si="278">HYPERLINK("https://drive.google.com/drive/folders/175-z_mueHOttIWzh2F2VXZ0iJRsVS_JO","SB Drive/Complete jumps/Series/GURPS")</f>
        <v>SB Drive/Complete jumps/Series/GURPS</v>
      </c>
    </row>
    <row r="3596">
      <c r="A3596" s="12" t="str">
        <f>HYPERLINK("https://drive.google.com/file/d/0By8NY-NO4-N5c0NTbFdoSEFMVkE/view?usp=drivesdk&amp;resourcekey=0-iXWfdMw4AQpKI5Irc7yBdg","GURPS: MonsterHunters JumpChain.pdf")</f>
        <v>GURPS: MonsterHunters JumpChain.pdf</v>
      </c>
      <c r="B3596" s="12" t="str">
        <f t="shared" si="278"/>
        <v>SB Drive/Complete jumps/Series/GURPS</v>
      </c>
    </row>
    <row r="3597">
      <c r="A3597" s="12" t="str">
        <f>HYPERLINK("https://drive.google.com/file/d/1_72PROvq4KT3Maz4RmU1UOMkuO49-gCJ/view?usp=drivesdk","Kirby - Planet Robobot JumpChain.pdf")</f>
        <v>Kirby - Planet Robobot JumpChain.pdf</v>
      </c>
      <c r="B3597" s="12" t="str">
        <f t="shared" ref="B3597:B3599" si="279">HYPERLINK("https://drive.google.com/drive/folders/1tFzZL3OMjsFN-9eB5D-zLX25NwxnFkEV","SB Drive/Complete jumps/Series/Kirby")</f>
        <v>SB Drive/Complete jumps/Series/Kirby</v>
      </c>
    </row>
    <row r="3598">
      <c r="A3598" s="12" t="str">
        <f>HYPERLINK("https://drive.google.com/file/d/1LKrt6d_uH1iuBkbEyc4siWJDawIXmEzL/view?usp=drivesdk","Kirby SSU JumpChain.pdf")</f>
        <v>Kirby SSU JumpChain.pdf</v>
      </c>
      <c r="B3598" s="12" t="str">
        <f t="shared" si="279"/>
        <v>SB Drive/Complete jumps/Series/Kirby</v>
      </c>
    </row>
    <row r="3599">
      <c r="A3599" s="12" t="str">
        <f>HYPERLINK("https://drive.google.com/file/d/1ANMsmx7AcDwYQkDcJMzyPfVqCXQpYxDb/view?usp=drivesdk","Kirby &amp; the Amazing Mirror JumpChain.pdf")</f>
        <v>Kirby &amp; the Amazing Mirror JumpChain.pdf</v>
      </c>
      <c r="B3599" s="12" t="str">
        <f t="shared" si="279"/>
        <v>SB Drive/Complete jumps/Series/Kirby</v>
      </c>
    </row>
    <row r="3600">
      <c r="A3600" s="12" t="str">
        <f>HYPERLINK("https://drive.google.com/file/d/1nGC6K6IiJAKAPj0SAnhRQR3cdF038Xif/view?usp=drivesdk","Ravenwood Setting Supplement.pdf")</f>
        <v>Ravenwood Setting Supplement.pdf</v>
      </c>
      <c r="B3600" s="12" t="str">
        <f t="shared" ref="B3600:B3602" si="280">HYPERLINK("https://drive.google.com/drive/folders/1wOK70DVZ8x3MYHTMV-N13xbA27eJKa7K","SB Drive/Complete jumps/Series/Ravenwood")</f>
        <v>SB Drive/Complete jumps/Series/Ravenwood</v>
      </c>
    </row>
    <row r="3601">
      <c r="A3601" s="12" t="str">
        <f>HYPERLINK("https://drive.google.com/file/d/13NbmTw0PKqjjJbQK5uX1YKWjayksIBpE/view?usp=drivesdk","Ravenwood Power Source Supplement.pdf")</f>
        <v>Ravenwood Power Source Supplement.pdf</v>
      </c>
      <c r="B3601" s="12" t="str">
        <f t="shared" si="280"/>
        <v>SB Drive/Complete jumps/Series/Ravenwood</v>
      </c>
    </row>
    <row r="3602">
      <c r="A3602" s="12" t="str">
        <f>HYPERLINK("https://drive.google.com/file/d/1JeDcWUwVYQKxh5WKO5cOwi0Rk4xThH2o/view?usp=drivesdk","Ravenwood JumpChain.pdf")</f>
        <v>Ravenwood JumpChain.pdf</v>
      </c>
      <c r="B3602" s="12" t="str">
        <f t="shared" si="280"/>
        <v>SB Drive/Complete jumps/Series/Ravenwood</v>
      </c>
    </row>
    <row r="3603">
      <c r="A3603" s="12" t="str">
        <f>HYPERLINK("https://drive.google.com/file/d/1CQVOXCeLywWFFWY0eEYQgqRxZr6syTBk/view?usp=drivesdk","A Wizard's Keychains JumpChain - Magic Systems Supplement.pdf")</f>
        <v>A Wizard's Keychains JumpChain - Magic Systems Supplement.pdf</v>
      </c>
      <c r="B3603" s="12" t="str">
        <f t="shared" ref="B3603:B3604" si="281">HYPERLINK("https://drive.google.com/drive/folders/17og0RxS3A1fWTuc2fmBvZJbfm9ct77Ya","SB Drive/Complete jumps/Series/A Wizard's Keychains")</f>
        <v>SB Drive/Complete jumps/Series/A Wizard's Keychains</v>
      </c>
    </row>
    <row r="3604">
      <c r="A3604" s="12" t="str">
        <f>HYPERLINK("https://drive.google.com/file/d/1KByhRYwKP-MqWwI6h5qo4A-B_Qn0IzJI/view?usp=drivesdk","A Wizard’s Keychains JumpChain.pdf")</f>
        <v>A Wizard’s Keychains JumpChain.pdf</v>
      </c>
      <c r="B3604" s="12" t="str">
        <f t="shared" si="281"/>
        <v>SB Drive/Complete jumps/Series/A Wizard's Keychains</v>
      </c>
    </row>
    <row r="3605">
      <c r="A3605" s="12" t="str">
        <f>HYPERLINK("https://drive.google.com/file/d/1-LbkbsfghXh18JbdE3XWrXb93K1mqgPy/view?usp=drivesdk","Again (BotW) JumpChain.pdf")</f>
        <v>Again (BotW) JumpChain.pdf</v>
      </c>
      <c r="B3605" s="12" t="str">
        <f t="shared" ref="B3605:B3606" si="282">HYPERLINK("https://drive.google.com/drive/folders/1ug7KPxck8cOOcOFyVnNpsfVk1kw0W1Kt","SB Drive/Complete jumps/Series/Legend of Zelda")</f>
        <v>SB Drive/Complete jumps/Series/Legend of Zelda</v>
      </c>
    </row>
    <row r="3606">
      <c r="A3606" s="12" t="str">
        <f>HYPERLINK("https://drive.google.com/file/d/1x0lpzJhl02SGKvz5U9VFcOkE5FDGO1-G/view?usp=drivesdk","Legend of Zelda - Breath of the Wild JumpChain.pdf")</f>
        <v>Legend of Zelda - Breath of the Wild JumpChain.pdf</v>
      </c>
      <c r="B3606" s="12" t="str">
        <f t="shared" si="282"/>
        <v>SB Drive/Complete jumps/Series/Legend of Zelda</v>
      </c>
    </row>
    <row r="3607">
      <c r="A3607" s="12" t="str">
        <f>HYPERLINK("https://drive.google.com/file/d/1c-ucvG6tb3nogLvswidaupp1XdCxIrQt/view?usp=drivesdk","Diablo 3 JumpChain.pdf")</f>
        <v>Diablo 3 JumpChain.pdf</v>
      </c>
      <c r="B3607" s="12" t="str">
        <f t="shared" ref="B3607:B3608" si="283">HYPERLINK("https://drive.google.com/drive/folders/11S7ZM-MvC-P08FLABlbBb30EdBF0dbFW","SB Drive/Complete jumps/Series/Diablo")</f>
        <v>SB Drive/Complete jumps/Series/Diablo</v>
      </c>
    </row>
    <row r="3608">
      <c r="A3608" s="12" t="str">
        <f>HYPERLINK("https://drive.google.com/file/d/0By8NY-NO4-N5RlVxbXZkTXhrSGs/view?usp=drivesdk&amp;resourcekey=0-SpOJ0JkYNwq1-Hzlvb75HA","Diablo: Hellfire JumpChain.pdf")</f>
        <v>Diablo: Hellfire JumpChain.pdf</v>
      </c>
      <c r="B3608" s="12" t="str">
        <f t="shared" si="283"/>
        <v>SB Drive/Complete jumps/Series/Diablo</v>
      </c>
    </row>
    <row r="3609">
      <c r="A3609" s="12" t="str">
        <f>HYPERLINK("https://drive.google.com/file/d/1wxXxRUTh-sLUImlpytxsB34JQP4vlonh/view?usp=drivesdk","Speaker for the Dead JumpChain.pdf")</f>
        <v>Speaker for the Dead JumpChain.pdf</v>
      </c>
      <c r="B3609" s="12" t="str">
        <f t="shared" ref="B3609:B3610" si="284">HYPERLINK("https://drive.google.com/drive/folders/1KBYLnp93Hhf-JXr3IaT-JUCbHU5aE763","SB Drive/Complete jumps/Series/Enderverse")</f>
        <v>SB Drive/Complete jumps/Series/Enderverse</v>
      </c>
    </row>
    <row r="3610">
      <c r="A3610" s="12" t="str">
        <f>HYPERLINK("https://drive.google.com/file/d/1kwMCj01lv2lS_-sYPRPJzvObcJ99l6Gs/view?usp=drivesdk","Ender's Game JumpChain.pdf")</f>
        <v>Ender's Game JumpChain.pdf</v>
      </c>
      <c r="B3610" s="12" t="str">
        <f t="shared" si="284"/>
        <v>SB Drive/Complete jumps/Series/Enderverse</v>
      </c>
    </row>
    <row r="3611">
      <c r="A3611" s="12" t="str">
        <f>HYPERLINK("https://drive.google.com/file/d/1Gm1BiKTgXa1WymQ0eO179JYOC1FK605Q/view?usp=drivesdk","Mass Effect: Andromeda JumpChain.pdf")</f>
        <v>Mass Effect: Andromeda JumpChain.pdf</v>
      </c>
      <c r="B3611" s="12" t="str">
        <f t="shared" ref="B3611:B3612" si="285">HYPERLINK("https://drive.google.com/drive/folders/10jzaPoCeXwNt_rXBkCR3aAEWVGQYhUUG","SB Drive/Complete jumps/Series/Mass Effect")</f>
        <v>SB Drive/Complete jumps/Series/Mass Effect</v>
      </c>
    </row>
    <row r="3612">
      <c r="A3612" s="12" t="str">
        <f>HYPERLINK("https://drive.google.com/file/d/1_d0AdA8suAtx3sCiqyZIL2Gth3LZBgyn/view?usp=drivesdk","Blasto The Hanar Spectre JumpChain.pdf")</f>
        <v>Blasto The Hanar Spectre JumpChain.pdf</v>
      </c>
      <c r="B3612" s="12" t="str">
        <f t="shared" si="285"/>
        <v>SB Drive/Complete jumps/Series/Mass Effect</v>
      </c>
    </row>
    <row r="3613">
      <c r="A3613" s="12" t="str">
        <f>HYPERLINK("https://drive.google.com/file/d/1GywTa_WP15DXJskGq1hblINtwbS5x3r1/view?usp=drivesdk","Warbreaker JumpChain.pdf")</f>
        <v>Warbreaker JumpChain.pdf</v>
      </c>
      <c r="B3613" s="12" t="str">
        <f t="shared" ref="B3613:B3614" si="286">HYPERLINK("https://drive.google.com/drive/folders/1srDAYzuZiuHGWyva1OS7NTYbstz0xICA","SB Drive/Complete jumps/Series/Cosmere")</f>
        <v>SB Drive/Complete jumps/Series/Cosmere</v>
      </c>
    </row>
    <row r="3614">
      <c r="A3614" s="12" t="str">
        <f>HYPERLINK("https://drive.google.com/file/d/1Sf2Jd_ZNYYDdGtamxNOykh04DfogcmXS/view?usp=drivesdk","Stormlight Archive JumpChain.pdf")</f>
        <v>Stormlight Archive JumpChain.pdf</v>
      </c>
      <c r="B3614" s="12" t="str">
        <f t="shared" si="286"/>
        <v>SB Drive/Complete jumps/Series/Cosmere</v>
      </c>
    </row>
    <row r="3615">
      <c r="A3615" s="12" t="str">
        <f>HYPERLINK("https://drive.google.com/file/d/1pJU-nRzYoMsjmNGWyXM_L074NmTW5iaF/view?usp=drivesdk","Destroy The Godmodder 2 JumpChain.pdf")</f>
        <v>Destroy The Godmodder 2 JumpChain.pdf</v>
      </c>
      <c r="B3615" s="12" t="str">
        <f t="shared" ref="B3615:B3616" si="287">HYPERLINK("https://drive.google.com/drive/folders/1V1hQn-l_9_E_9VvZvgmb83hLiwmldb1q","SB Drive/Complete jumps/Series/Destroy The Godmodder")</f>
        <v>SB Drive/Complete jumps/Series/Destroy The Godmodder</v>
      </c>
    </row>
    <row r="3616">
      <c r="A3616" s="12" t="str">
        <f>HYPERLINK("https://drive.google.com/file/d/12aQILVvkI3cVLQykom-lG8KKNRrhhBej/view?usp=drivesdk","Generic Destroy The Godmodder JumpChain.pdf")</f>
        <v>Generic Destroy The Godmodder JumpChain.pdf</v>
      </c>
      <c r="B3616" s="12" t="str">
        <f t="shared" si="287"/>
        <v>SB Drive/Complete jumps/Series/Destroy The Godmodder</v>
      </c>
    </row>
    <row r="3617">
      <c r="A3617" s="12" t="str">
        <f>HYPERLINK("https://drive.google.com/file/d/1bwp_xRk1EOMIuI0NqK7CO12MEZSTZ6CZ/view?usp=drivesdk","Xenoblade Chronicles 2 JumpChain.pdf")</f>
        <v>Xenoblade Chronicles 2 JumpChain.pdf</v>
      </c>
      <c r="B3617" s="12" t="str">
        <f t="shared" ref="B3617:B3618" si="288">HYPERLINK("https://drive.google.com/drive/folders/1ePWtMJbKeUwzIjFrQQKGruPD_67yTmM1","SB Drive/Complete jumps/Series/Xenoblade")</f>
        <v>SB Drive/Complete jumps/Series/Xenoblade</v>
      </c>
    </row>
    <row r="3618">
      <c r="A3618" s="12" t="str">
        <f>HYPERLINK("https://drive.google.com/file/d/0By8NY-NO4-N5T3Uyb3A2QmJCQnM/view?usp=drivesdk&amp;resourcekey=0-Sft-dAGXsbGelrttG04Gow","Xenoblade Chronicles X JumpChain.pdf")</f>
        <v>Xenoblade Chronicles X JumpChain.pdf</v>
      </c>
      <c r="B3618" s="12" t="str">
        <f t="shared" si="288"/>
        <v>SB Drive/Complete jumps/Series/Xenoblade</v>
      </c>
    </row>
    <row r="3619">
      <c r="A3619" s="12" t="str">
        <f>HYPERLINK("https://drive.google.com/file/d/1I3S43n-bApm_JU56DRTc95be-x6tfzK5/view?usp=drivesdk","Power Rangers Turbo JumpChain.pdf")</f>
        <v>Power Rangers Turbo JumpChain.pdf</v>
      </c>
      <c r="B3619" s="12" t="str">
        <f t="shared" ref="B3619:B3621" si="289">HYPERLINK("https://drive.google.com/drive/folders/1ljc0qFiUc4bjWpZTYVBo4xnaTAgsmeFR","SB Drive/Complete jumps/Series/Power Rangers")</f>
        <v>SB Drive/Complete jumps/Series/Power Rangers</v>
      </c>
    </row>
    <row r="3620">
      <c r="A3620" s="12" t="str">
        <f>HYPERLINK("https://drive.google.com/file/d/18U73HfkY6vnZdUw0SdIPXddB5uU-3BlG/view?usp=drivesdk","Power Rangers Zeo JumpChain.pdf")</f>
        <v>Power Rangers Zeo JumpChain.pdf</v>
      </c>
      <c r="B3620" s="12" t="str">
        <f t="shared" si="289"/>
        <v>SB Drive/Complete jumps/Series/Power Rangers</v>
      </c>
    </row>
    <row r="3621">
      <c r="A3621" s="12" t="str">
        <f>HYPERLINK("https://drive.google.com/file/d/15dGciMq51udJLgOT5Eosuk3gPIJjD21L/view?usp=drivesdk","Universal Power Rangers JumpChain.pdf")</f>
        <v>Universal Power Rangers JumpChain.pdf</v>
      </c>
      <c r="B3621" s="12" t="str">
        <f t="shared" si="289"/>
        <v>SB Drive/Complete jumps/Series/Power Rangers</v>
      </c>
    </row>
    <row r="3622">
      <c r="A3622" s="12" t="str">
        <f>HYPERLINK("https://drive.google.com/file/d/1guKZ6Fx-Zr-Rbpmi1ckm9ZQQbA77pqBO/view?usp=drivesdk","Wheel of Time JumpChain.pdf")</f>
        <v>Wheel of Time JumpChain.pdf</v>
      </c>
      <c r="B3622" s="12" t="str">
        <f t="shared" ref="B3622:B3623" si="290">HYPERLINK("https://drive.google.com/drive/folders/1MdxB0gDYzdHl1pTv5nwR-C3zw0JgdfL_","SB Drive/Complete jumps/Series/Wheel of Time")</f>
        <v>SB Drive/Complete jumps/Series/Wheel of Time</v>
      </c>
    </row>
    <row r="3623">
      <c r="A3623" s="12" t="str">
        <f>HYPERLINK("https://drive.google.com/file/d/1aFKism9lakQxcPdgdEo9tKVWuTBqYA5N/view?usp=drivesdk","The Wheel of Time - Trolloc War JumpChain.pdf")</f>
        <v>The Wheel of Time - Trolloc War JumpChain.pdf</v>
      </c>
      <c r="B3623" s="12" t="str">
        <f t="shared" si="290"/>
        <v>SB Drive/Complete jumps/Series/Wheel of Time</v>
      </c>
    </row>
    <row r="3624">
      <c r="A3624" s="12" t="str">
        <f>HYPERLINK("https://drive.google.com/file/d/1CYEF7ALdCYxpKJ3JXO8XvCDdgjHoXQF2/view?usp=drivesdk","Sword Art Online JumpChain - SB version.pdf")</f>
        <v>Sword Art Online JumpChain - SB version.pdf</v>
      </c>
      <c r="B3624" s="12" t="str">
        <f t="shared" ref="B3624:B3625" si="291">HYPERLINK("https://drive.google.com/drive/folders/1mKzs3GoLSordkYxyUglTmUCMlV4KFm62","SB Drive/Complete jumps/Series/Sword Art Online")</f>
        <v>SB Drive/Complete jumps/Series/Sword Art Online</v>
      </c>
    </row>
    <row r="3625">
      <c r="A3625" s="12" t="str">
        <f>HYPERLINK("https://drive.google.com/file/d/16UJuABn4WHbveiPPU3i2CaWpYgfyKhQK/view?usp=drivesdk","Sword Art Online ABRIDGED JumpChain.pdf")</f>
        <v>Sword Art Online ABRIDGED JumpChain.pdf</v>
      </c>
      <c r="B3625" s="12" t="str">
        <f t="shared" si="291"/>
        <v>SB Drive/Complete jumps/Series/Sword Art Online</v>
      </c>
    </row>
    <row r="3626">
      <c r="A3626" s="12" t="str">
        <f>HYPERLINK("https://drive.google.com/file/d/1umBbBFFp7-bW8WBEB1dKrMZtJ4J6RvG7/view?usp=drivesdk","Supreme Commander 2 JumpChain.pdf")</f>
        <v>Supreme Commander 2 JumpChain.pdf</v>
      </c>
      <c r="B3626" s="12" t="str">
        <f t="shared" ref="B3626:B3627" si="292">HYPERLINK("https://drive.google.com/drive/folders/10IMkL43Y_-FLxAsYTHV1v0NroPsEzx63","SB Drive/Complete jumps/Series/Supreme Commander")</f>
        <v>SB Drive/Complete jumps/Series/Supreme Commander</v>
      </c>
    </row>
    <row r="3627">
      <c r="A3627" s="12" t="str">
        <f>HYPERLINK("https://drive.google.com/file/d/1ghGHA7ee4VnEsLD0AdKVWoIDsB3ifMPo/view?usp=drivesdk","Supreme Commander JumpChain.pdf")</f>
        <v>Supreme Commander JumpChain.pdf</v>
      </c>
      <c r="B3627" s="12" t="str">
        <f t="shared" si="292"/>
        <v>SB Drive/Complete jumps/Series/Supreme Commander</v>
      </c>
    </row>
    <row r="3628">
      <c r="A3628" s="12" t="str">
        <f>HYPERLINK("https://drive.google.com/file/d/19-yIBIWajsofUt9XqYVmZGtUOLOG0mmA/view?usp=drivesdk","Starcraft II: Race-Swapped Campaigns Gauntlet.pdf")</f>
        <v>Starcraft II: Race-Swapped Campaigns Gauntlet.pdf</v>
      </c>
      <c r="B3628" s="12" t="str">
        <f t="shared" ref="B3628:B3631" si="293">HYPERLINK("https://drive.google.com/drive/folders/1MkL1gkKlT28fJHe1d_qRUln4g8uyeYoR","SB Drive/Complete jumps/Series/Starcraft")</f>
        <v>SB Drive/Complete jumps/Series/Starcraft</v>
      </c>
    </row>
    <row r="3629">
      <c r="A3629" s="12" t="str">
        <f>HYPERLINK("https://drive.google.com/file/d/1M0802-a6Nvxx2PV2_jbXeov-6-nI450s/view?usp=drivesdk","Starcraft II: Odyssey JumpChain.pdf")</f>
        <v>Starcraft II: Odyssey JumpChain.pdf</v>
      </c>
      <c r="B3629" s="12" t="str">
        <f t="shared" si="293"/>
        <v>SB Drive/Complete jumps/Series/Starcraft</v>
      </c>
    </row>
    <row r="3630">
      <c r="A3630" s="12" t="str">
        <f>HYPERLINK("https://drive.google.com/file/d/1wSHSuaRZneUn3IIutXF5MaBTmPO9zRZ2/view?usp=drivesdk","Starcraft II: Nova Covert Ops JumpChain.pdf")</f>
        <v>Starcraft II: Nova Covert Ops JumpChain.pdf</v>
      </c>
      <c r="B3630" s="12" t="str">
        <f t="shared" si="293"/>
        <v>SB Drive/Complete jumps/Series/Starcraft</v>
      </c>
    </row>
    <row r="3631">
      <c r="A3631" s="12" t="str">
        <f>HYPERLINK("https://drive.google.com/file/d/1Ot195nIQe2X4Hb_1mGgtJ-tCzZd3lTjg/view?usp=drivesdk","Starcraft Co-op JumpChain.pdf")</f>
        <v>Starcraft Co-op JumpChain.pdf</v>
      </c>
      <c r="B3631" s="12" t="str">
        <f t="shared" si="293"/>
        <v>SB Drive/Complete jumps/Series/Starcraft</v>
      </c>
    </row>
    <row r="3632">
      <c r="A3632" s="12" t="str">
        <f>HYPERLINK("https://drive.google.com/file/d/1Xe6NQrbOLC_EL04Y94Lay5G9iyZcE70J/view?usp=drivesdk","Star Trek: Elite Force JumpChain.pdf")</f>
        <v>Star Trek: Elite Force JumpChain.pdf</v>
      </c>
      <c r="B3632" s="12" t="str">
        <f t="shared" ref="B3632:B3636" si="294">HYPERLINK("https://drive.google.com/drive/folders/1bPrAsvgkPsaVZIhFtLm-04yIPArEyORH","SB Drive/Complete jumps/Series/Star Trek")</f>
        <v>SB Drive/Complete jumps/Series/Star Trek</v>
      </c>
    </row>
    <row r="3633">
      <c r="A3633" s="12" t="str">
        <f>HYPERLINK("https://drive.google.com/file/d/1aRYVdvbYWZXdcr36TweRwj0QB9EJN99V/view?usp=drivesdk","Star Trek: New Worlds JumpChain.pdf")</f>
        <v>Star Trek: New Worlds JumpChain.pdf</v>
      </c>
      <c r="B3633" s="12" t="str">
        <f t="shared" si="294"/>
        <v>SB Drive/Complete jumps/Series/Star Trek</v>
      </c>
    </row>
    <row r="3634">
      <c r="A3634" s="12" t="str">
        <f>HYPERLINK("https://drive.google.com/file/d/1eWSpqLxogtSMoXzvOxdq-jFIm37pFc3G/view?usp=drivesdk","Star Trek: The Mirror Universe JumpChain.pdf")</f>
        <v>Star Trek: The Mirror Universe JumpChain.pdf</v>
      </c>
      <c r="B3634" s="12" t="str">
        <f t="shared" si="294"/>
        <v>SB Drive/Complete jumps/Series/Star Trek</v>
      </c>
    </row>
    <row r="3635">
      <c r="A3635" s="12" t="str">
        <f>HYPERLINK("https://drive.google.com/file/d/1Kmea3BRBSQkn6v7Jv1XXCyEv8aHbHhXT/view?usp=drivesdk","Star Trek: Enterprise JumpChain.pdf")</f>
        <v>Star Trek: Enterprise JumpChain.pdf</v>
      </c>
      <c r="B3635" s="12" t="str">
        <f t="shared" si="294"/>
        <v>SB Drive/Complete jumps/Series/Star Trek</v>
      </c>
    </row>
    <row r="3636">
      <c r="A3636" s="12" t="str">
        <f>HYPERLINK("https://drive.google.com/file/d/1_5PGTWAx95x9sCL6YhnctTVuoFBlcXzU/view?usp=drivesdk","Star Trek Online JumpChain.pdf")</f>
        <v>Star Trek Online JumpChain.pdf</v>
      </c>
      <c r="B3636" s="12" t="str">
        <f t="shared" si="294"/>
        <v>SB Drive/Complete jumps/Series/Star Trek</v>
      </c>
    </row>
    <row r="3637">
      <c r="A3637" s="12" t="str">
        <f>HYPERLINK("https://drive.google.com/file/d/1QaCEncOYP1BWKZlZfdTNrmhJ5JhTiIKQ/view?usp=drivesdk","Smash Up JumpChain - Oops, You Did It Again Supplement.pdf")</f>
        <v>Smash Up JumpChain - Oops, You Did It Again Supplement.pdf</v>
      </c>
      <c r="B3637" s="12" t="str">
        <f t="shared" ref="B3637:B3643" si="295">HYPERLINK("https://drive.google.com/drive/folders/1cuUu0xCP0W5e0bl1-XRW8xsfwUfBsISm","SB Drive/Complete jumps/Series/Smash Up")</f>
        <v>SB Drive/Complete jumps/Series/Smash Up</v>
      </c>
    </row>
    <row r="3638">
      <c r="A3638" s="12" t="str">
        <f>HYPERLINK("https://drive.google.com/file/d/17EUT2BJFJPzFy3VrBuHSdrBPv_qQlJFp/view?usp=drivesdk","Smash Up JumpChain - That 70s Supplement.pdf")</f>
        <v>Smash Up JumpChain - That 70s Supplement.pdf</v>
      </c>
      <c r="B3638" s="12" t="str">
        <f t="shared" si="295"/>
        <v>SB Drive/Complete jumps/Series/Smash Up</v>
      </c>
    </row>
    <row r="3639">
      <c r="A3639" s="12" t="str">
        <f>HYPERLINK("https://drive.google.com/file/d/1pDI0yBwjSjj3H9K8nG025CRNCcHrZchv/view?usp=drivesdk","Smash Up JumpChain - What Were We Thinking Supplement.pdf")</f>
        <v>Smash Up JumpChain - What Were We Thinking Supplement.pdf</v>
      </c>
      <c r="B3639" s="12" t="str">
        <f t="shared" si="295"/>
        <v>SB Drive/Complete jumps/Series/Smash Up</v>
      </c>
    </row>
    <row r="3640">
      <c r="A3640" s="12" t="str">
        <f>HYPERLINK("https://drive.google.com/file/d/1hMqudEmF8PyHY6fjwktxvWrXF932JacH/view?usp=drivesdk","Smash Up JumpChain - Obligatory Cthulhu Supplement.pdf")</f>
        <v>Smash Up JumpChain - Obligatory Cthulhu Supplement.pdf</v>
      </c>
      <c r="B3640" s="12" t="str">
        <f t="shared" si="295"/>
        <v>SB Drive/Complete jumps/Series/Smash Up</v>
      </c>
    </row>
    <row r="3641">
      <c r="A3641" s="12" t="str">
        <f>HYPERLINK("https://drive.google.com/file/d/1lorPhiapeTMVomkIfoA6wKe2V-hAy28Q/view?usp=drivesdk","Smash Up JumpChain - It's Your Fault Supplement.pdf")</f>
        <v>Smash Up JumpChain - It's Your Fault Supplement.pdf</v>
      </c>
      <c r="B3641" s="12" t="str">
        <f t="shared" si="295"/>
        <v>SB Drive/Complete jumps/Series/Smash Up</v>
      </c>
    </row>
    <row r="3642">
      <c r="A3642" s="12" t="str">
        <f>HYPERLINK("https://drive.google.com/file/d/1khsgsQAmMqaTYHJL8z12XnhpoM46jNyq/view?usp=drivesdk","Smash Up JumpChain - Big In Japan Supplement.pdf")</f>
        <v>Smash Up JumpChain - Big In Japan Supplement.pdf</v>
      </c>
      <c r="B3642" s="12" t="str">
        <f t="shared" si="295"/>
        <v>SB Drive/Complete jumps/Series/Smash Up</v>
      </c>
    </row>
    <row r="3643">
      <c r="A3643" s="12" t="str">
        <f>HYPERLINK("https://drive.google.com/file/d/1cTey0aVTxPUBWYu80itP7LN9CBk_SuM3/view?usp=drivesdk","Smash Up JumpChain.pdf")</f>
        <v>Smash Up JumpChain.pdf</v>
      </c>
      <c r="B3643" s="12" t="str">
        <f t="shared" si="295"/>
        <v>SB Drive/Complete jumps/Series/Smash Up</v>
      </c>
    </row>
    <row r="3644">
      <c r="A3644" s="12" t="str">
        <f>HYPERLINK("https://drive.google.com/file/d/1f4pXfSvjbDCFNHrtdPI7jZ9betwPYVWO/view?usp=drivesdk","Shin Megami Tensei 4 Apocalypse JumpChain.pdf")</f>
        <v>Shin Megami Tensei 4 Apocalypse JumpChain.pdf</v>
      </c>
      <c r="B3644" s="12" t="str">
        <f t="shared" ref="B3644:B3645" si="296">HYPERLINK("https://drive.google.com/drive/folders/1U-Ff60NRNTzo_nA9e51aHMxX_B_zhGap","SB Drive/Complete jumps/Series/Shin Megami Tensei")</f>
        <v>SB Drive/Complete jumps/Series/Shin Megami Tensei</v>
      </c>
    </row>
    <row r="3645">
      <c r="A3645" s="12" t="str">
        <f>HYPERLINK("https://drive.google.com/file/d/1cAdC_8ldV-9VNk7j_l0MI87RtWnlCEuA/view?usp=drivesdk","Shin Megami Tensei 3 Nocturne JumpChain.pdf")</f>
        <v>Shin Megami Tensei 3 Nocturne JumpChain.pdf</v>
      </c>
      <c r="B3645" s="12" t="str">
        <f t="shared" si="296"/>
        <v>SB Drive/Complete jumps/Series/Shin Megami Tensei</v>
      </c>
    </row>
    <row r="3646">
      <c r="A3646" s="12" t="str">
        <f>HYPERLINK("https://drive.google.com/file/d/1FutCQbUZ3RZKLCM-LiSpauwh03t6cfUJ/view?usp=drivesdk","Generic RWBY Fanfiction JumpChain.pdf")</f>
        <v>Generic RWBY Fanfiction JumpChain.pdf</v>
      </c>
      <c r="B3646" s="12" t="str">
        <f t="shared" ref="B3646:B3650" si="297">HYPERLINK("https://drive.google.com/drive/folders/1alzWCSbMhD0OBYj5FdgDdc7Q4JpNLAWs","SB Drive/Complete jumps/Series/RWBY")</f>
        <v>SB Drive/Complete jumps/Series/RWBY</v>
      </c>
    </row>
    <row r="3647">
      <c r="A3647" s="12" t="str">
        <f>HYPERLINK("https://drive.google.com/file/d/1kwpyg2G_xL_r8ZkKZhpxSqlxqpk_lHjJ/view?usp=drivesdk","The Light of our Solus JumpChain.pdf")</f>
        <v>The Light of our Solus JumpChain.pdf</v>
      </c>
      <c r="B3647" s="12" t="str">
        <f t="shared" si="297"/>
        <v>SB Drive/Complete jumps/Series/RWBY</v>
      </c>
    </row>
    <row r="3648">
      <c r="A3648" s="12" t="str">
        <f>HYPERLINK("https://drive.google.com/file/d/1f41RxASO2t7cnhMafy8PJwiktAk-5ngs/view?usp=drivesdk","The Games We Play JumpChain.pdf")</f>
        <v>The Games We Play JumpChain.pdf</v>
      </c>
      <c r="B3648" s="12" t="str">
        <f t="shared" si="297"/>
        <v>SB Drive/Complete jumps/Series/RWBY</v>
      </c>
    </row>
    <row r="3649">
      <c r="A3649" s="12" t="str">
        <f>HYPERLINK("https://drive.google.com/file/d/1RQ_fuqgD3Fyg52vPzeoSJmHDqLaF383T/view?usp=drivesdk","RWBY JumpChain.pdf")</f>
        <v>RWBY JumpChain.pdf</v>
      </c>
      <c r="B3649" s="12" t="str">
        <f t="shared" si="297"/>
        <v>SB Drive/Complete jumps/Series/RWBY</v>
      </c>
    </row>
    <row r="3650">
      <c r="A3650" s="12" t="str">
        <f>HYPERLINK("https://drive.google.com/file/d/1amun6eLKV1kp0PlUv-uUvPj-Frxw0Ahf/view?usp=drivesdk","In The Kingdom's Service JumpChain.pdf")</f>
        <v>In The Kingdom's Service JumpChain.pdf</v>
      </c>
      <c r="B3650" s="12" t="str">
        <f t="shared" si="297"/>
        <v>SB Drive/Complete jumps/Series/RWBY</v>
      </c>
    </row>
    <row r="3651">
      <c r="A3651" s="12" t="str">
        <f>HYPERLINK("https://drive.google.com/file/d/1mBJTKsM0M_9fxz14Yrg7m-IT4Dp01LSg/view?usp=drivesdk","Overlord (The Series) JumpChain.pdf")</f>
        <v>Overlord (The Series) JumpChain.pdf</v>
      </c>
      <c r="B3651" s="12" t="str">
        <f t="shared" ref="B3651:B3652" si="298">HYPERLINK("https://drive.google.com/drive/folders/1FV4RkjZbc4-TEtF6Bcq-zD77dkpPFyGS","SB Drive/Complete jumps/Series/Overlord")</f>
        <v>SB Drive/Complete jumps/Series/Overlord</v>
      </c>
    </row>
    <row r="3652">
      <c r="A3652" s="12" t="str">
        <f>HYPERLINK("https://drive.google.com/file/d/1d5p8e2GxP_oAztmLDVOF0Mhh9di_fYSD/view?usp=drivesdk","Overlord (The Series) JumpChain - Guild Base Supplement.pdf")</f>
        <v>Overlord (The Series) JumpChain - Guild Base Supplement.pdf</v>
      </c>
      <c r="B3652" s="12" t="str">
        <f t="shared" si="298"/>
        <v>SB Drive/Complete jumps/Series/Overlord</v>
      </c>
    </row>
    <row r="3653">
      <c r="A3653" s="12" t="str">
        <f>HYPERLINK("https://drive.google.com/file/d/1r6HpaC4638xLe3OfxVO2fNtWPv49NtO1/view?usp=drivesdk","Orion’s Arm: The Amalgamation JumpChain.pdf")</f>
        <v>Orion’s Arm: The Amalgamation JumpChain.pdf</v>
      </c>
      <c r="B3653" s="12" t="str">
        <f t="shared" ref="B3653:B3654" si="299">HYPERLINK("https://drive.google.com/drive/folders/1Nsa5WHX-OMUHysmrLNB6-8kbpiMzDb9Z","SB Drive/Complete jumps/Series/Orion's Arm")</f>
        <v>SB Drive/Complete jumps/Series/Orion's Arm</v>
      </c>
    </row>
    <row r="3654">
      <c r="A3654" s="12" t="str">
        <f>HYPERLINK("https://drive.google.com/file/d/1WOD5E3eue8BNRGU2C_l5o3e3Hs1AsEYq/view?usp=drivesdk","Orion’s Arm: Sephirotic Empires JumpChain.pdf")</f>
        <v>Orion’s Arm: Sephirotic Empires JumpChain.pdf</v>
      </c>
      <c r="B3654" s="12" t="str">
        <f t="shared" si="299"/>
        <v>SB Drive/Complete jumps/Series/Orion's Arm</v>
      </c>
    </row>
    <row r="3655">
      <c r="A3655" s="12" t="str">
        <f>HYPERLINK("https://drive.google.com/file/d/1r2bXsyAST-vI2gt7K5d1yFhNH_dNeplz/view?usp=drivesdk","Peter Pan JumpChain.pdf")</f>
        <v>Peter Pan JumpChain.pdf</v>
      </c>
      <c r="B3655" s="12" t="str">
        <f t="shared" ref="B3655:B3656" si="300">HYPERLINK("https://drive.google.com/drive/folders/1wE53mc3Zl1Hfm923Sc35yWtYEEEzPNfy","SB Drive/Complete jumps/Series/Peter Pan")</f>
        <v>SB Drive/Complete jumps/Series/Peter Pan</v>
      </c>
    </row>
    <row r="3656">
      <c r="A3656" s="12" t="str">
        <f>HYPERLINK("https://drive.google.com/file/d/1Px-mdC5Am-DGCkMi63yn4m6Yod7cs4XK/view?usp=drivesdk","Neverland - A Fantasy Role-Playing Setting JumpChain.pdf")</f>
        <v>Neverland - A Fantasy Role-Playing Setting JumpChain.pdf</v>
      </c>
      <c r="B3656" s="12" t="str">
        <f t="shared" si="300"/>
        <v>SB Drive/Complete jumps/Series/Peter Pan</v>
      </c>
    </row>
    <row r="3657">
      <c r="A3657" s="12" t="str">
        <f>HYPERLINK("https://drive.google.com/file/d/14sHVOsMYEY3W9wvwNwiBxVya2YCqlU9k/view?usp=drivesdk","Pokemon Legends: Arceus JumpChain.pdf")</f>
        <v>Pokemon Legends: Arceus JumpChain.pdf</v>
      </c>
      <c r="B3657" s="12" t="str">
        <f t="shared" ref="B3657:B3662" si="301">HYPERLINK("https://drive.google.com/drive/folders/1y_-ZRgKAdpLsROPai1zktydFhVVy02_t","SB Drive/Complete jumps/Series/Pokémon")</f>
        <v>SB Drive/Complete jumps/Series/Pokémon</v>
      </c>
    </row>
    <row r="3658">
      <c r="A3658" s="12" t="str">
        <f>HYPERLINK("https://drive.google.com/file/d/1BjBft0chjXq_hm_5TwL0PLluBPJDBzeP/view?usp=drivesdk","Magical Pokémon Journey JumpChain.pdf")</f>
        <v>Magical Pokémon Journey JumpChain.pdf</v>
      </c>
      <c r="B3658" s="12" t="str">
        <f t="shared" si="301"/>
        <v>SB Drive/Complete jumps/Series/Pokémon</v>
      </c>
    </row>
    <row r="3659">
      <c r="A3659" s="12" t="str">
        <f>HYPERLINK("https://drive.google.com/file/d/1om-eK_vkBTO4bw3gBBQOC4I4-L38qDVt/view?usp=drivesdk","Generic Pokemon Mystery Dungeon AU JumpChain.pdf")</f>
        <v>Generic Pokemon Mystery Dungeon AU JumpChain.pdf</v>
      </c>
      <c r="B3659" s="12" t="str">
        <f t="shared" si="301"/>
        <v>SB Drive/Complete jumps/Series/Pokémon</v>
      </c>
    </row>
    <row r="3660">
      <c r="A3660" s="12" t="str">
        <f>HYPERLINK("https://drive.google.com/file/d/1txIT0SbFMFo9CyAj42g-m9NbXI1MEojC/view?usp=drivesdk","Pokemon Adventures Manga Gen 2 JumpChain.pdf")</f>
        <v>Pokemon Adventures Manga Gen 2 JumpChain.pdf</v>
      </c>
      <c r="B3660" s="12" t="str">
        <f t="shared" si="301"/>
        <v>SB Drive/Complete jumps/Series/Pokémon</v>
      </c>
    </row>
    <row r="3661">
      <c r="A3661" s="12" t="str">
        <f>HYPERLINK("https://drive.google.com/file/d/1kfqNyPAtTJubDQW_78U79ZyXxGpBRc1e/view?usp=drivesdk","Pokémon Adventures Manga Gen 1 JumpChain.pdf")</f>
        <v>Pokémon Adventures Manga Gen 1 JumpChain.pdf</v>
      </c>
      <c r="B3661" s="12" t="str">
        <f t="shared" si="301"/>
        <v>SB Drive/Complete jumps/Series/Pokémon</v>
      </c>
    </row>
    <row r="3662">
      <c r="A3662" s="12" t="str">
        <f>HYPERLINK("https://drive.google.com/file/d/1jWvHkpQWdXpHHC14ZwisP8NxBtxbjZn4/view?usp=drivesdk","Pokémon GO JumpChain.pdf")</f>
        <v>Pokémon GO JumpChain.pdf</v>
      </c>
      <c r="B3662" s="12" t="str">
        <f t="shared" si="301"/>
        <v>SB Drive/Complete jumps/Series/Pokémon</v>
      </c>
    </row>
    <row r="3663">
      <c r="A3663" s="12" t="str">
        <f>HYPERLINK("https://drive.google.com/file/d/1NTyiKg8v3j4n21GI_RzcT2LXPomOYhAP/view?usp=drivesdk","The Mystic JumpChain.pdf")</f>
        <v>The Mystic JumpChain.pdf</v>
      </c>
      <c r="B3663" s="12" t="str">
        <f t="shared" ref="B3663:B3669" si="302">HYPERLINK("https://drive.google.com/drive/folders/1yJXVmtSWJAhiqgTN__z_eyykEw2v_G1A","SB Drive/Complete jumps/Series/Dungeons &amp; Dragons")</f>
        <v>SB Drive/Complete jumps/Series/Dungeons &amp; Dragons</v>
      </c>
    </row>
    <row r="3664">
      <c r="A3664" s="12" t="str">
        <f>HYPERLINK("https://drive.google.com/file/d/1K6YxGoZXjNC_G0YRV0gUdeCdZfJGNbpr/view?usp=drivesdk","Dungeons and Dragons Online JumpChain.pdf")</f>
        <v>Dungeons and Dragons Online JumpChain.pdf</v>
      </c>
      <c r="B3664" s="12" t="str">
        <f t="shared" si="302"/>
        <v>SB Drive/Complete jumps/Series/Dungeons &amp; Dragons</v>
      </c>
    </row>
    <row r="3665">
      <c r="A3665" s="12" t="str">
        <f>HYPERLINK("https://drive.google.com/file/d/1JREDszJ5wpCyrjEcPU8AwLE_9HPSHBTQ/view?usp=drivesdk","Mystara JumpChain.pdf")</f>
        <v>Mystara JumpChain.pdf</v>
      </c>
      <c r="B3665" s="12" t="str">
        <f t="shared" si="302"/>
        <v>SB Drive/Complete jumps/Series/Dungeons &amp; Dragons</v>
      </c>
    </row>
    <row r="3666">
      <c r="A3666" s="12" t="str">
        <f>HYPERLINK("https://drive.google.com/file/d/1thvJONLWpVv6dLVABWb1E0HhC7L2R6mN/view?usp=drivesdk","Spelljammer JumpChain.pdf")</f>
        <v>Spelljammer JumpChain.pdf</v>
      </c>
      <c r="B3666" s="12" t="str">
        <f t="shared" si="302"/>
        <v>SB Drive/Complete jumps/Series/Dungeons &amp; Dragons</v>
      </c>
    </row>
    <row r="3667">
      <c r="A3667" s="12" t="str">
        <f>HYPERLINK("https://drive.google.com/file/d/1KivK5W8G9g8pLx82YkZVQMvLk8ATDeKF/view?usp=drivesdk","Neverwinter Nights - Storm Of Zehir JumpChain.pdf")</f>
        <v>Neverwinter Nights - Storm Of Zehir JumpChain.pdf</v>
      </c>
      <c r="B3667" s="12" t="str">
        <f t="shared" si="302"/>
        <v>SB Drive/Complete jumps/Series/Dungeons &amp; Dragons</v>
      </c>
    </row>
    <row r="3668">
      <c r="A3668" s="12" t="str">
        <f>HYPERLINK("https://drive.google.com/file/d/1jQRzaZ1XDFZe8w7mctvR9d4EtosyUMPF/view?usp=drivesdk","Icewind Dale JumpChain.pdf")</f>
        <v>Icewind Dale JumpChain.pdf</v>
      </c>
      <c r="B3668" s="12" t="str">
        <f t="shared" si="302"/>
        <v>SB Drive/Complete jumps/Series/Dungeons &amp; Dragons</v>
      </c>
    </row>
    <row r="3669">
      <c r="A3669" s="12" t="str">
        <f>HYPERLINK("https://drive.google.com/file/d/1TtDqSRpkbtm1XErYDmV267jLjdNQR23n/view?usp=drivesdk","Baldur's Gate Trilogy JumpChain.pdf")</f>
        <v>Baldur's Gate Trilogy JumpChain.pdf</v>
      </c>
      <c r="B3669" s="12" t="str">
        <f t="shared" si="302"/>
        <v>SB Drive/Complete jumps/Series/Dungeons &amp; Dragons</v>
      </c>
    </row>
    <row r="3670">
      <c r="A3670" s="12" t="str">
        <f>HYPERLINK("https://drive.google.com/file/d/1GyaHiMwHo4Tq0cni-LBjnT8Cqg6qXw2W/view?usp=drivesdk","Lords of the Night - Zombies JumpChain.pdf")</f>
        <v>Lords of the Night - Zombies JumpChain.pdf</v>
      </c>
      <c r="B3670" s="12" t="str">
        <f t="shared" ref="B3670:B3672" si="303">HYPERLINK("https://drive.google.com/drive/folders/1ve42J7r-E4scZjXlB7sD5fvEBj9wAwSW","SB Drive/Complete jumps/Series/Dungeons &amp; Dragons/Lords of the Night")</f>
        <v>SB Drive/Complete jumps/Series/Dungeons &amp; Dragons/Lords of the Night</v>
      </c>
    </row>
    <row r="3671">
      <c r="A3671" s="12" t="str">
        <f>HYPERLINK("https://drive.google.com/file/d/13q8b6wh80R6lm9fg5jp_TRc3nTD62fd2/view?usp=drivesdk","Lords of the Night - Vampires JumpChain.pdf")</f>
        <v>Lords of the Night - Vampires JumpChain.pdf</v>
      </c>
      <c r="B3671" s="12" t="str">
        <f t="shared" si="303"/>
        <v>SB Drive/Complete jumps/Series/Dungeons &amp; Dragons/Lords of the Night</v>
      </c>
    </row>
    <row r="3672">
      <c r="A3672" s="12" t="str">
        <f>HYPERLINK("https://drive.google.com/file/d/1bSNOA3vrY3vDxWwL2pWfavQgM1F98kW2/view?usp=drivesdk","Lords of the Night - Liches JumpChain.pdf")</f>
        <v>Lords of the Night - Liches JumpChain.pdf</v>
      </c>
      <c r="B3672" s="12" t="str">
        <f t="shared" si="303"/>
        <v>SB Drive/Complete jumps/Series/Dungeons &amp; Dragons/Lords of the Night</v>
      </c>
    </row>
    <row r="3673">
      <c r="A3673" s="12" t="str">
        <f>HYPERLINK("https://drive.google.com/file/d/1m3U2A0K8nJXHrjQCjHX49zQQkOeeplf_/view?usp=drivesdk","Wreck-It Ralph JumpChain.pdf")</f>
        <v>Wreck-It Ralph JumpChain.pdf</v>
      </c>
      <c r="B3673" s="12" t="str">
        <f t="shared" ref="B3673:B3676" si="304">HYPERLINK("https://drive.google.com/drive/folders/1NnVFDKvT4QS1f7l0CVbb1JAUCfvILSDT","SB Drive/Complete jumps/Series/Disney")</f>
        <v>SB Drive/Complete jumps/Series/Disney</v>
      </c>
    </row>
    <row r="3674">
      <c r="A3674" s="12" t="str">
        <f>HYPERLINK("https://drive.google.com/file/d/1SUD7UguBg-NKNzVX3-fBdFFi7RtrWhiE/view?usp=drivesdk","Robin Hood JumpChain.pdf")</f>
        <v>Robin Hood JumpChain.pdf</v>
      </c>
      <c r="B3674" s="12" t="str">
        <f t="shared" si="304"/>
        <v>SB Drive/Complete jumps/Series/Disney</v>
      </c>
    </row>
    <row r="3675">
      <c r="A3675" s="12" t="str">
        <f>HYPERLINK("https://drive.google.com/file/d/1dnFu0TuYxuy8Bi2gsnRRD2AL3d3GdDJH/view?usp=drivesdk","Hercules JumpChain.pdf")</f>
        <v>Hercules JumpChain.pdf</v>
      </c>
      <c r="B3675" s="12" t="str">
        <f t="shared" si="304"/>
        <v>SB Drive/Complete jumps/Series/Disney</v>
      </c>
    </row>
    <row r="3676">
      <c r="A3676" s="12" t="str">
        <f>HYPERLINK("https://drive.google.com/file/d/1q3D2FL-skG5X7LqQFvuTwoWJ_4HyxeEt/view?usp=drivesdk","Aladdin JumpChain.pdf")</f>
        <v>Aladdin JumpChain.pdf</v>
      </c>
      <c r="B3676" s="12" t="str">
        <f t="shared" si="304"/>
        <v>SB Drive/Complete jumps/Series/Disney</v>
      </c>
    </row>
    <row r="3677">
      <c r="A3677" s="12" t="str">
        <f>HYPERLINK("https://drive.google.com/file/d/1kZy0zf-nylVMEXOQQI9oIHzoNKYllCDt/view?usp=drivesdk","Just Cause 4 JumpChain.pdf")</f>
        <v>Just Cause 4 JumpChain.pdf</v>
      </c>
      <c r="B3677" s="12" t="str">
        <f t="shared" ref="B3677:B3679" si="305">HYPERLINK("https://drive.google.com/drive/folders/1X8r8cWQeNyOOfhfgJrNby8axHAilQOPy","SB Drive/Complete jumps/Series/Just Cause")</f>
        <v>SB Drive/Complete jumps/Series/Just Cause</v>
      </c>
    </row>
    <row r="3678">
      <c r="A3678" s="12" t="str">
        <f>HYPERLINK("https://drive.google.com/file/d/113ay8ZxOhWTZUs1KsWYVWuaQVLBoyS8M/view?usp=drivesdk","Just Cause 3 JumpChain.pdf")</f>
        <v>Just Cause 3 JumpChain.pdf</v>
      </c>
      <c r="B3678" s="12" t="str">
        <f t="shared" si="305"/>
        <v>SB Drive/Complete jumps/Series/Just Cause</v>
      </c>
    </row>
    <row r="3679">
      <c r="A3679" s="12" t="str">
        <f>HYPERLINK("https://drive.google.com/file/d/1c5J9Jovi1wqcPpEcToBsdd40ZavOrMtL/view?usp=drivesdk","Just Cause 2 JumpChain.pdf")</f>
        <v>Just Cause 2 JumpChain.pdf</v>
      </c>
      <c r="B3679" s="12" t="str">
        <f t="shared" si="305"/>
        <v>SB Drive/Complete jumps/Series/Just Cause</v>
      </c>
    </row>
    <row r="3680">
      <c r="A3680" s="12" t="str">
        <f>HYPERLINK("https://drive.google.com/file/d/1j-XjcJmZlUi-3nGjvCU6Cqsez8j6AuY-/view?usp=drivesdk","Imperium Galactica II JumpChain.pdf")</f>
        <v>Imperium Galactica II JumpChain.pdf</v>
      </c>
      <c r="B3680" s="12" t="str">
        <f t="shared" ref="B3680:B3681" si="306">HYPERLINK("https://drive.google.com/drive/folders/1SwukwngfJno5ewcu_dRB1i5xtgLDlpdF","SB Drive/Complete jumps/Series/Imperium Galactica")</f>
        <v>SB Drive/Complete jumps/Series/Imperium Galactica</v>
      </c>
    </row>
    <row r="3681">
      <c r="A3681" s="12" t="str">
        <f>HYPERLINK("https://drive.google.com/file/d/196SWLg_ZQFRiRyjE7e7hOdd8LqCIKi6A/view?usp=drivesdk","Imperium Galactica I JumpChain.pdf")</f>
        <v>Imperium Galactica I JumpChain.pdf</v>
      </c>
      <c r="B3681" s="12" t="str">
        <f t="shared" si="306"/>
        <v>SB Drive/Complete jumps/Series/Imperium Galactica</v>
      </c>
    </row>
    <row r="3682">
      <c r="A3682" s="12" t="str">
        <f>HYPERLINK("https://drive.google.com/file/d/1Xx_7s0vbf_D6Agru_LK1M1r7jc7B67JM/view?usp=drivesdk","Highlander (Animated Series + Anime) JumpChain.pdf")</f>
        <v>Highlander (Animated Series + Anime) JumpChain.pdf</v>
      </c>
      <c r="B3682" s="12" t="str">
        <f t="shared" ref="B3682:B3683" si="307">HYPERLINK("https://drive.google.com/drive/folders/1mBx3E961Rb3hg1ozK-J61dR8w8RzOHSI","SB Drive/Complete jumps/Series/Highlander")</f>
        <v>SB Drive/Complete jumps/Series/Highlander</v>
      </c>
    </row>
    <row r="3683">
      <c r="A3683" s="12" t="str">
        <f>HYPERLINK("https://drive.google.com/file/d/1SRcZSofJZRqirRsfbD4ASv4Up_XoQEVG/view?usp=drivesdk","Highlander (The Movies + TV Show) JumpChain.pdf")</f>
        <v>Highlander (The Movies + TV Show) JumpChain.pdf</v>
      </c>
      <c r="B3683" s="12" t="str">
        <f t="shared" si="307"/>
        <v>SB Drive/Complete jumps/Series/Highlander</v>
      </c>
    </row>
    <row r="3684">
      <c r="A3684" s="12" t="str">
        <f>HYPERLINK("https://drive.google.com/file/d/15WgdxS2o3TlYwlpeXM6nvERvvp9Nl4nF/view?usp=drivesdk","Final Fantasy Tactics Advance (SB Version) JumpChain.pdf")</f>
        <v>Final Fantasy Tactics Advance (SB Version) JumpChain.pdf</v>
      </c>
      <c r="B3684" s="12" t="str">
        <f t="shared" ref="B3684:B3685" si="308">HYPERLINK("https://drive.google.com/drive/folders/1svKGtMCOnYtNJnQcPNUNn2-3pqefBiMx","SB Drive/Complete jumps/Series/Final Fantasy")</f>
        <v>SB Drive/Complete jumps/Series/Final Fantasy</v>
      </c>
    </row>
    <row r="3685">
      <c r="A3685" s="12" t="str">
        <f>HYPERLINK("https://drive.google.com/file/d/1izfO04eTWnWRPV2gAuVGcD2uoh_dzFnR/view?usp=drivesdk","Final Fantasy 10 JumpChain.pdf")</f>
        <v>Final Fantasy 10 JumpChain.pdf</v>
      </c>
      <c r="B3685" s="12" t="str">
        <f t="shared" si="308"/>
        <v>SB Drive/Complete jumps/Series/Final Fantasy</v>
      </c>
    </row>
    <row r="3686">
      <c r="A3686" s="12" t="str">
        <f>HYPERLINK("https://drive.google.com/file/d/13sFK7ES-qG9GAfa6WbxjWOT1ZVrZ_ABh/view?usp=drivesdk","Modded Fallout JumpChain.pdf")</f>
        <v>Modded Fallout JumpChain.pdf</v>
      </c>
      <c r="B3686" s="12" t="str">
        <f t="shared" ref="B3686:B3687" si="309">HYPERLINK("https://drive.google.com/drive/folders/1n-L3dUCQnyfU-hooOG5-j0eJxPCBEeyc","SB Drive/Complete jumps/Series/Fallout")</f>
        <v>SB Drive/Complete jumps/Series/Fallout</v>
      </c>
    </row>
    <row r="3687">
      <c r="A3687" s="12" t="str">
        <f>HYPERLINK("https://drive.google.com/file/d/1VvXfVtfJ3lDM5At79uVw3RHgjjNSinA-/view?usp=drivesdk","Fallout 76 JumpChain.pdf")</f>
        <v>Fallout 76 JumpChain.pdf</v>
      </c>
      <c r="B3687" s="12" t="str">
        <f t="shared" si="309"/>
        <v>SB Drive/Complete jumps/Series/Fallout</v>
      </c>
    </row>
    <row r="3688">
      <c r="A3688" s="12" t="str">
        <f>HYPERLINK("https://drive.google.com/file/d/1xGbwi8QVReTQV1J1HHTbPTJUewoyEJHp/view?usp=drivesdk","Emperor: Battle For Dune JumpChain.pdf")</f>
        <v>Emperor: Battle For Dune JumpChain.pdf</v>
      </c>
      <c r="B3688" s="12" t="str">
        <f t="shared" ref="B3688:B3690" si="310">HYPERLINK("https://drive.google.com/drive/folders/19PdtvljUlIurAVL6FWvh8RBm2AooNCra","SB Drive/Complete jumps/Series/Dune")</f>
        <v>SB Drive/Complete jumps/Series/Dune</v>
      </c>
    </row>
    <row r="3689">
      <c r="A3689" s="12" t="str">
        <f>HYPERLINK("https://drive.google.com/file/d/1DwHk0QzsQRCPJB2-u-l0F2xHlaUliZxm/view?usp=drivesdk","Frank Hebert's Dune JumpChain.pdf")</f>
        <v>Frank Hebert's Dune JumpChain.pdf</v>
      </c>
      <c r="B3689" s="12" t="str">
        <f t="shared" si="310"/>
        <v>SB Drive/Complete jumps/Series/Dune</v>
      </c>
    </row>
    <row r="3690">
      <c r="A3690" s="12" t="str">
        <f>HYPERLINK("https://drive.google.com/file/d/1FpzrUDp6V_tS4ZQi8mfBjF9oMZq0VOYf/view?usp=drivesdk","Dune 2 &amp; Dune 2000 JumpChain.pdf")</f>
        <v>Dune 2 &amp; Dune 2000 JumpChain.pdf</v>
      </c>
      <c r="B3690" s="12" t="str">
        <f t="shared" si="310"/>
        <v>SB Drive/Complete jumps/Series/Dune</v>
      </c>
    </row>
    <row r="3691">
      <c r="A3691" s="12" t="str">
        <f>HYPERLINK("https://drive.google.com/file/d/19Yzi1qpYkgQeaRKBQJ6r_bZS3HaHqzMi/view?usp=drivesdk","Destiny JumpChain.pdf")</f>
        <v>Destiny JumpChain.pdf</v>
      </c>
      <c r="B3691" s="12" t="str">
        <f t="shared" ref="B3691:B3692" si="311">HYPERLINK("https://drive.google.com/drive/folders/1BrFvpr4IkhNkUfZkn3aMCsRQn8prO-gr","SB Drive/Complete jumps/Series/Destiny")</f>
        <v>SB Drive/Complete jumps/Series/Destiny</v>
      </c>
    </row>
    <row r="3692">
      <c r="A3692" s="12" t="str">
        <f>HYPERLINK("https://drive.google.com/file/d/1PRzsJkqOz0zvX5ebpmTwGzAdmQj8WCXk/view?usp=drivesdk","Destiny: The Darkness JumpChain.pdf")</f>
        <v>Destiny: The Darkness JumpChain.pdf</v>
      </c>
      <c r="B3692" s="12" t="str">
        <f t="shared" si="311"/>
        <v>SB Drive/Complete jumps/Series/Destiny</v>
      </c>
    </row>
    <row r="3693">
      <c r="A3693" s="12" t="str">
        <f>HYPERLINK("https://drive.google.com/file/d/1DAMq04nXomYh8kUlTCtk_c-3n7v5WXN5/view?usp=drivesdk","Desolate Era JumpChain Part II - The Chaosverse.pdf")</f>
        <v>Desolate Era JumpChain Part II - The Chaosverse.pdf</v>
      </c>
      <c r="B3693" s="12" t="str">
        <f t="shared" ref="B3693:B3694" si="312">HYPERLINK("https://drive.google.com/drive/folders/18ns9g4ZdOG58npRM52jml0c5kbSJMi8C","SB Drive/Complete jumps/Series/Desolate Era")</f>
        <v>SB Drive/Complete jumps/Series/Desolate Era</v>
      </c>
    </row>
    <row r="3694">
      <c r="A3694" s="12" t="str">
        <f>HYPERLINK("https://drive.google.com/file/d/1Yk84zFMMXK0FKBQzQQKRtHcWvEfuuBB0/view?usp=drivesdk","Desolate Era JumpChain Part I - The Three Realms.pdf")</f>
        <v>Desolate Era JumpChain Part I - The Three Realms.pdf</v>
      </c>
      <c r="B3694" s="12" t="str">
        <f t="shared" si="312"/>
        <v>SB Drive/Complete jumps/Series/Desolate Era</v>
      </c>
    </row>
    <row r="3695">
      <c r="A3695" s="12" t="str">
        <f>HYPERLINK("https://drive.google.com/file/d/1T9QJqRjLdwAQVCr4weShzRbrLSQOOdpS/view?usp=drivesdk","Star Wars: The Old Republic JumpChain.pdf")</f>
        <v>Star Wars: The Old Republic JumpChain.pdf</v>
      </c>
      <c r="B3695" s="12" t="str">
        <f t="shared" ref="B3695:B3700" si="313">HYPERLINK("https://drive.google.com/drive/folders/1hAOJTZk3KA83KzpJDZbvIOqBnwm_7k0N","SB Drive/Complete jumps/Series/Star Wars")</f>
        <v>SB Drive/Complete jumps/Series/Star Wars</v>
      </c>
    </row>
    <row r="3696">
      <c r="A3696" s="12" t="str">
        <f>HYPERLINK("https://drive.google.com/file/d/1bnuMVgLNQnafdQvDnu5CklyGUkT5dJeW/view?usp=drivesdk","Star Wars: The New Jedi Order JumpChain.pdf")</f>
        <v>Star Wars: The New Jedi Order JumpChain.pdf</v>
      </c>
      <c r="B3696" s="12" t="str">
        <f t="shared" si="313"/>
        <v>SB Drive/Complete jumps/Series/Star Wars</v>
      </c>
    </row>
    <row r="3697">
      <c r="A3697" s="12" t="str">
        <f>HYPERLINK("https://drive.google.com/file/d/1G548dVYKxvfMGZClrb_qViuJbAgBQRP_/view?usp=drivesdk","Star Wars: The Force Unleashed JumpChain.pdf")</f>
        <v>Star Wars: The Force Unleashed JumpChain.pdf</v>
      </c>
      <c r="B3697" s="12" t="str">
        <f t="shared" si="313"/>
        <v>SB Drive/Complete jumps/Series/Star Wars</v>
      </c>
    </row>
    <row r="3698">
      <c r="A3698" s="12" t="str">
        <f>HYPERLINK("https://drive.google.com/file/d/1Sn5rEwsmO4FCJIkt0SPsOg46JuwBIRx-/view?usp=drivesdk","Star Wars: Podracer JumpChain.pdf")</f>
        <v>Star Wars: Podracer JumpChain.pdf</v>
      </c>
      <c r="B3698" s="12" t="str">
        <f t="shared" si="313"/>
        <v>SB Drive/Complete jumps/Series/Star Wars</v>
      </c>
    </row>
    <row r="3699">
      <c r="A3699" s="12" t="str">
        <f>HYPERLINK("https://drive.google.com/file/d/1m_NDPd64X9yv8vHh6bi4JhyxWrF5ChXP/view?usp=drivesdk","Star Wars: Tales of the Jedi JumpChain.pdf")</f>
        <v>Star Wars: Tales of the Jedi JumpChain.pdf</v>
      </c>
      <c r="B3699" s="12" t="str">
        <f t="shared" si="313"/>
        <v>SB Drive/Complete jumps/Series/Star Wars</v>
      </c>
    </row>
    <row r="3700">
      <c r="A3700" s="12" t="str">
        <f>HYPERLINK("https://drive.google.com/file/d/1-xC_AZYqnOPVg8Bc9KljKQ5jYySAokdJ/view?usp=drivesdk","Darth Bane Trilogy JumpChain.pdf")</f>
        <v>Darth Bane Trilogy JumpChain.pdf</v>
      </c>
      <c r="B3700" s="12" t="str">
        <f t="shared" si="313"/>
        <v>SB Drive/Complete jumps/Series/Star Wars</v>
      </c>
    </row>
    <row r="3701">
      <c r="A3701" s="12" t="str">
        <f>HYPERLINK("https://drive.google.com/file/d/1QtCuhlL1LE_ChuUOERO8bs_XN7f0FYjs/view?usp=drivesdk","Irish Mythology JumpChain (Plain text ver.).pdf")</f>
        <v>Irish Mythology JumpChain (Plain text ver.).pdf</v>
      </c>
      <c r="B3701" s="12" t="str">
        <f t="shared" ref="B3701:B3703" si="314">HYPERLINK("https://drive.google.com/drive/folders/1mMGb92qtsyxvjk0CdIcLq0jvWmyhNBdR","SB Drive/Complete jumps/Series/Mythology")</f>
        <v>SB Drive/Complete jumps/Series/Mythology</v>
      </c>
    </row>
    <row r="3702">
      <c r="A3702" s="12" t="str">
        <f>HYPERLINK("https://drive.google.com/file/d/1ETNqCaeem559Ryc5dzY6TWcgRdly5LVa/view?usp=drivesdk","Irish Mythology JumpChain.pdf")</f>
        <v>Irish Mythology JumpChain.pdf</v>
      </c>
      <c r="B3702" s="12" t="str">
        <f t="shared" si="314"/>
        <v>SB Drive/Complete jumps/Series/Mythology</v>
      </c>
    </row>
    <row r="3703">
      <c r="A3703" s="12" t="str">
        <f>HYPERLINK("https://drive.google.com/file/d/1eRBvUyZp0J0guBg9Lh-tjjd0DNjNQ7eP/view?usp=drivesdk","Chinese Mythology JumpChain.pdf")</f>
        <v>Chinese Mythology JumpChain.pdf</v>
      </c>
      <c r="B3703" s="12" t="str">
        <f t="shared" si="314"/>
        <v>SB Drive/Complete jumps/Series/Mythology</v>
      </c>
    </row>
    <row r="3704">
      <c r="A3704" s="12" t="str">
        <f>HYPERLINK("https://drive.google.com/file/d/11sw5UFwnpJp1m-4MVU6ZkUY8TCJmnz71/view?usp=drivesdk","Mario Kart JumpChain.pdf")</f>
        <v>Mario Kart JumpChain.pdf</v>
      </c>
      <c r="B3704" s="12" t="str">
        <f t="shared" ref="B3704:B3705" si="315">HYPERLINK("https://drive.google.com/drive/folders/14WrNSCjkhXm1ewwGUk7Raar8T7Jltfh2","SB Drive/Complete jumps/Series/Super Mario")</f>
        <v>SB Drive/Complete jumps/Series/Super Mario</v>
      </c>
    </row>
    <row r="3705">
      <c r="A3705" s="12" t="str">
        <f>HYPERLINK("https://drive.google.com/file/d/0B_TqZboetruwc1VjbWpLN2xvLXM/view?usp=drivesdk&amp;resourcekey=0-EH_C3YvTc2x6wpTJZjuR-g","A Super Mario Thing JumpChain.pdf")</f>
        <v>A Super Mario Thing JumpChain.pdf</v>
      </c>
      <c r="B3705" s="12" t="str">
        <f t="shared" si="315"/>
        <v>SB Drive/Complete jumps/Series/Super Mario</v>
      </c>
    </row>
    <row r="3706">
      <c r="A3706" s="12" t="str">
        <f>HYPERLINK("https://drive.google.com/file/d/1XChIJziCNz-f-loe3dmxZp7iPrXSUaO2/view?usp=drivesdk","Marvel Future Fight Gauntlet.pdf")</f>
        <v>Marvel Future Fight Gauntlet.pdf</v>
      </c>
      <c r="B3706" s="12" t="str">
        <f t="shared" ref="B3706:B3708" si="316">HYPERLINK("https://drive.google.com/drive/folders/1tMEuFR-cKu_nNRtyxawE-NdXFu7TF5Zd","SB Drive/Complete jumps/Series/Marvel Comics")</f>
        <v>SB Drive/Complete jumps/Series/Marvel Comics</v>
      </c>
    </row>
    <row r="3707">
      <c r="A3707" s="12" t="str">
        <f>HYPERLINK("https://drive.google.com/file/d/1tgVhqBYJggF0fR0lZDzpgtzEc4z4fU1j/view?usp=drivesdk","Marvel Comics Kid Superheroes JumpChain.pdf")</f>
        <v>Marvel Comics Kid Superheroes JumpChain.pdf</v>
      </c>
      <c r="B3707" s="12" t="str">
        <f t="shared" si="316"/>
        <v>SB Drive/Complete jumps/Series/Marvel Comics</v>
      </c>
    </row>
    <row r="3708">
      <c r="A3708" s="12" t="str">
        <f>HYPERLINK("https://drive.google.com/file/d/18NoGqTj5Oo0EUiGrkCtydnDSniJvfqK-/view?usp=drivesdk","Fantastic Four JumpChain.pdf")</f>
        <v>Fantastic Four JumpChain.pdf</v>
      </c>
      <c r="B3708" s="12" t="str">
        <f t="shared" si="316"/>
        <v>SB Drive/Complete jumps/Series/Marvel Comics</v>
      </c>
    </row>
    <row r="3709">
      <c r="A3709" s="12" t="str">
        <f>HYPERLINK("https://drive.google.com/file/d/1OyZp-Ovl-Ak9-qRy2yZ7H68N3_mEm-MG/view?usp=drivesdk","DC Multiverse - Earth 18 JumpChain.pdf")</f>
        <v>DC Multiverse - Earth 18 JumpChain.pdf</v>
      </c>
      <c r="B3709" s="12" t="str">
        <f t="shared" ref="B3709:B3717" si="317">HYPERLINK("https://drive.google.com/drive/folders/1Q5t1uVAWfAfh1qHleNjh0rVzfnUmQCrC","SB Drive/Complete jumps/Series/DC Comics")</f>
        <v>SB Drive/Complete jumps/Series/DC Comics</v>
      </c>
    </row>
    <row r="3710">
      <c r="A3710" s="12" t="str">
        <f>HYPERLINK("https://drive.google.com/file/d/1GbVnZ1Qh59nLfLM6UUzJ-OA8H_jN69rP/view?usp=drivesdk","With This Ring JumpChain.pdf")</f>
        <v>With This Ring JumpChain.pdf</v>
      </c>
      <c r="B3710" s="12" t="str">
        <f t="shared" si="317"/>
        <v>SB Drive/Complete jumps/Series/DC Comics</v>
      </c>
    </row>
    <row r="3711">
      <c r="A3711" s="12" t="str">
        <f>HYPERLINK("https://drive.google.com/file/d/1Tu_QMUu_C3AaWhlIrZQSmmuqnFjOoJSL/view?usp=drivesdk","Superman JumpChain.pdf")</f>
        <v>Superman JumpChain.pdf</v>
      </c>
      <c r="B3711" s="12" t="str">
        <f t="shared" si="317"/>
        <v>SB Drive/Complete jumps/Series/DC Comics</v>
      </c>
    </row>
    <row r="3712">
      <c r="A3712" s="12" t="str">
        <f>HYPERLINK("https://drive.google.com/file/d/1hn8FWBz8mQ8hPo8-cru6hymQR6ZrKhEa/view?usp=drivesdk","Lucifer (Show) JumpChain.pdf")</f>
        <v>Lucifer (Show) JumpChain.pdf</v>
      </c>
      <c r="B3712" s="12" t="str">
        <f t="shared" si="317"/>
        <v>SB Drive/Complete jumps/Series/DC Comics</v>
      </c>
    </row>
    <row r="3713">
      <c r="A3713" s="12" t="str">
        <f>HYPERLINK("https://drive.google.com/file/d/1jw9pdmykkYspErx0P8NwiGUtE6RiDwON/view?usp=drivesdk","Green Lantern JumpChain.pdf")</f>
        <v>Green Lantern JumpChain.pdf</v>
      </c>
      <c r="B3713" s="12" t="str">
        <f t="shared" si="317"/>
        <v>SB Drive/Complete jumps/Series/DC Comics</v>
      </c>
    </row>
    <row r="3714">
      <c r="A3714" s="12" t="str">
        <f>HYPERLINK("https://drive.google.com/file/d/1CMrCd_gA4IQwG31dw9riZvFiG3vchrzE/view?usp=drivesdk","Gen 13 JumpChain.pdf")</f>
        <v>Gen 13 JumpChain.pdf</v>
      </c>
      <c r="B3714" s="12" t="str">
        <f t="shared" si="317"/>
        <v>SB Drive/Complete jumps/Series/DC Comics</v>
      </c>
    </row>
    <row r="3715">
      <c r="A3715" s="12" t="str">
        <f>HYPERLINK("https://drive.google.com/file/d/1iSDvKQsFejyLvdHBpDkJ_Y6dDBvXVDgD/view?usp=drivesdk","DC Elseworlds - The Golden Age JumpChain.pdf")</f>
        <v>DC Elseworlds - The Golden Age JumpChain.pdf</v>
      </c>
      <c r="B3715" s="12" t="str">
        <f t="shared" si="317"/>
        <v>SB Drive/Complete jumps/Series/DC Comics</v>
      </c>
    </row>
    <row r="3716">
      <c r="A3716" s="12" t="str">
        <f>HYPERLINK("https://drive.google.com/file/d/1jx4Hoh323jz_8X9o9M7CjxGk2R1RFycv/view?usp=drivesdk","Constantine JumpChain.pdf")</f>
        <v>Constantine JumpChain.pdf</v>
      </c>
      <c r="B3716" s="12" t="str">
        <f t="shared" si="317"/>
        <v>SB Drive/Complete jumps/Series/DC Comics</v>
      </c>
    </row>
    <row r="3717">
      <c r="A3717" s="12" t="str">
        <f>HYPERLINK("https://drive.google.com/file/d/1j9iAOSlDNj2sFCBdD34PFWctWtc2us4y/view?usp=drivesdk","Smallville JumpChain.pdf")</f>
        <v>Smallville JumpChain.pdf</v>
      </c>
      <c r="B3717" s="12" t="str">
        <f t="shared" si="317"/>
        <v>SB Drive/Complete jumps/Series/DC Comics</v>
      </c>
    </row>
    <row r="3718">
      <c r="A3718" s="12" t="str">
        <f>HYPERLINK("https://drive.google.com/file/d/1NVMKa7dgCqy3PjVviUKbwWb-3t6LtGJ1/view?usp=drivesdk","Time Braid JumpChain.pdf")</f>
        <v>Time Braid JumpChain.pdf</v>
      </c>
      <c r="B3718" s="12" t="str">
        <f t="shared" ref="B3718:B3721" si="318">HYPERLINK("https://drive.google.com/drive/folders/1sVht-eS4iyzHSzXCl0qH3e86HAycbeIB","SB Drive/Complete jumps/Series/Naruto")</f>
        <v>SB Drive/Complete jumps/Series/Naruto</v>
      </c>
    </row>
    <row r="3719">
      <c r="A3719" s="12" t="str">
        <f>HYPERLINK("https://drive.google.com/file/d/14cvqk7jlOzplBQER26WMDxkyRe7j5NOp/view?usp=drivesdk","Generic Naruto Fanfiction JumpChain.pdf")</f>
        <v>Generic Naruto Fanfiction JumpChain.pdf</v>
      </c>
      <c r="B3719" s="12" t="str">
        <f t="shared" si="318"/>
        <v>SB Drive/Complete jumps/Series/Naruto</v>
      </c>
    </row>
    <row r="3720">
      <c r="A3720" s="12" t="str">
        <f>HYPERLINK("https://drive.google.com/file/d/18dMN9IWHAnJjvp5yVsxoGWA250CwRMZ4/view?usp=drivesdk","Chunin Exam Day JumpChain.pdf")</f>
        <v>Chunin Exam Day JumpChain.pdf</v>
      </c>
      <c r="B3720" s="12" t="str">
        <f t="shared" si="318"/>
        <v>SB Drive/Complete jumps/Series/Naruto</v>
      </c>
    </row>
    <row r="3721">
      <c r="A3721" s="12" t="str">
        <f>HYPERLINK("https://drive.google.com/file/d/1X4g_gS9PIxgyPMe_K0TxNZuupObYJ62o/view?usp=drivesdk","Naruto to Boruto: Shinobi Striker JumpChain.pdf")</f>
        <v>Naruto to Boruto: Shinobi Striker JumpChain.pdf</v>
      </c>
      <c r="B3721" s="12" t="str">
        <f t="shared" si="318"/>
        <v>SB Drive/Complete jumps/Series/Naruto</v>
      </c>
    </row>
    <row r="3722">
      <c r="A3722" s="12" t="str">
        <f>HYPERLINK("https://drive.google.com/file/d/1AMgLRxIWTM-xiajOdi1S9oOnWPGXjzA8/view?usp=drivesdk","Command &amp; Conquer - Red Alert 2 JumpChain.pdf")</f>
        <v>Command &amp; Conquer - Red Alert 2 JumpChain.pdf</v>
      </c>
      <c r="B3722" s="12" t="str">
        <f t="shared" ref="B3722:B3723" si="319">HYPERLINK("https://drive.google.com/drive/folders/1--DV3vWkiPQuuEQj7ghGj9FOmVpzY-ff","SB Drive/Complete jumps/Series/Command &amp; Conquer")</f>
        <v>SB Drive/Complete jumps/Series/Command &amp; Conquer</v>
      </c>
    </row>
    <row r="3723">
      <c r="A3723" s="12" t="str">
        <f>HYPERLINK("https://drive.google.com/file/d/1bEpN4SdAbV3gwCoV1I-FiUim2RVbeB2a/view?usp=drivesdk","Command &amp; Conquer - Generals JumpChain.pdf")</f>
        <v>Command &amp; Conquer - Generals JumpChain.pdf</v>
      </c>
      <c r="B3723" s="12" t="str">
        <f t="shared" si="319"/>
        <v>SB Drive/Complete jumps/Series/Command &amp; Conquer</v>
      </c>
    </row>
    <row r="3724">
      <c r="A3724" s="12" t="str">
        <f>HYPERLINK("https://drive.google.com/file/d/1WDZYVRb6SMcr43I7HTOOCuanj3Yrr3AL/view?usp=drivesdk","Bionicle JumpChain - Pyroi Ver.pdf")</f>
        <v>Bionicle JumpChain - Pyroi Ver.pdf</v>
      </c>
      <c r="B3724" s="12" t="str">
        <f t="shared" ref="B3724:B3725" si="320">HYPERLINK("https://drive.google.com/drive/folders/1M_VaZgJrPbxXZ8_uAS-J4fBS8Y_7r-XJ","SB Drive/Complete jumps/Series/Bionicle")</f>
        <v>SB Drive/Complete jumps/Series/Bionicle</v>
      </c>
    </row>
    <row r="3725">
      <c r="A3725" s="12" t="str">
        <f>HYPERLINK("https://drive.google.com/file/d/1f4iUXa4GaTmyjggL-d72MAjlzjXrYw_T/view?usp=drivesdk","Bionicle JumpChain - Aehriman Ver.pdf")</f>
        <v>Bionicle JumpChain - Aehriman Ver.pdf</v>
      </c>
      <c r="B3725" s="12" t="str">
        <f t="shared" si="320"/>
        <v>SB Drive/Complete jumps/Series/Bionicle</v>
      </c>
    </row>
    <row r="3726">
      <c r="A3726" s="12" t="str">
        <f>HYPERLINK("https://drive.google.com/file/d/1aYf8TgfTMVKk_p0zgS3F8uFsZQxBPZA4/view?usp=drivesdk","Avatar Fanfiction JumpChain.pdf")</f>
        <v>Avatar Fanfiction JumpChain.pdf</v>
      </c>
      <c r="B3726" s="12" t="str">
        <f t="shared" ref="B3726:B3727" si="321">HYPERLINK("https://drive.google.com/drive/folders/1yUL0EsNk79JMppVcmddxRr60VbycCb7H","SB Drive/Complete jumps/Series/Avatar")</f>
        <v>SB Drive/Complete jumps/Series/Avatar</v>
      </c>
    </row>
    <row r="3727">
      <c r="A3727" s="12" t="str">
        <f>HYPERLINK("https://drive.google.com/file/d/1-QHSYnFC0jDi0Mm5Wm5-YAFD-qCB1tYD/view?usp=drivesdk","Avatar - Rise of Kyoshi JumpChain.pdf")</f>
        <v>Avatar - Rise of Kyoshi JumpChain.pdf</v>
      </c>
      <c r="B3727" s="12" t="str">
        <f t="shared" si="321"/>
        <v>SB Drive/Complete jumps/Series/Avatar</v>
      </c>
    </row>
    <row r="3728">
      <c r="A3728" s="12" t="str">
        <f>HYPERLINK("https://drive.google.com/file/d/1OPlKYpOShRHr1TC9lVS_JBBMRkC46UBx/view?usp=drivesdk","Endless Pantheon JumpChain.pdf")</f>
        <v>Endless Pantheon JumpChain.pdf</v>
      </c>
      <c r="B3728" s="12" t="str">
        <f t="shared" ref="B3728:B3732" si="322">HYPERLINK("https://drive.google.com/drive/folders/1-1-fPGcM_RLu5rI07xwIPfohr6IkGEJP","SB Drive/Complete jumps/Series/Crossover Fanfics")</f>
        <v>SB Drive/Complete jumps/Series/Crossover Fanfics</v>
      </c>
    </row>
    <row r="3729">
      <c r="A3729" s="12" t="str">
        <f>HYPERLINK("https://drive.google.com/file/d/1yRaXBgmuVA8DIZK4eX0krXl2_-Z1KIC6/view?usp=drivesdk","It's A Game Hermione, Enjoy! Gauntlet.pdf")</f>
        <v>It's A Game Hermione, Enjoy! Gauntlet.pdf</v>
      </c>
      <c r="B3729" s="12" t="str">
        <f t="shared" si="322"/>
        <v>SB Drive/Complete jumps/Series/Crossover Fanfics</v>
      </c>
    </row>
    <row r="3730">
      <c r="A3730" s="12" t="str">
        <f>HYPERLINK("https://drive.google.com/file/d/17cs4m_rlgv00KbT4X1UmnmqcX5FlkGy-/view?usp=drivesdk","Luck of the Draw JumpChain.pdf")</f>
        <v>Luck of the Draw JumpChain.pdf</v>
      </c>
      <c r="B3730" s="12" t="str">
        <f t="shared" si="322"/>
        <v>SB Drive/Complete jumps/Series/Crossover Fanfics</v>
      </c>
    </row>
    <row r="3731">
      <c r="A3731" s="12" t="str">
        <f>HYPERLINK("https://drive.google.com/file/d/1-T58LbWlior4GcwlEt82pc_VvbldcpaK/view?usp=drivesdk","Alexander Harris and the Shadow Council JumpChain.pdf")</f>
        <v>Alexander Harris and the Shadow Council JumpChain.pdf</v>
      </c>
      <c r="B3731" s="12" t="str">
        <f t="shared" si="322"/>
        <v>SB Drive/Complete jumps/Series/Crossover Fanfics</v>
      </c>
    </row>
    <row r="3732">
      <c r="A3732" s="12" t="str">
        <f>HYPERLINK("https://drive.google.com/file/d/1DhhgwJMd0rA4bUKvPIvvoUrFyfgWJuC-/view?usp=drivesdk","Scooby Gamers JumpChain.pdf")</f>
        <v>Scooby Gamers JumpChain.pdf</v>
      </c>
      <c r="B3732" s="12" t="str">
        <f t="shared" si="322"/>
        <v>SB Drive/Complete jumps/Series/Crossover Fanfics</v>
      </c>
    </row>
    <row r="3733">
      <c r="A3733" s="12" t="str">
        <f>HYPERLINK("https://drive.google.com/file/d/1YJ_g_ato4LmwADfZCYAGsZQ3-Jcp-2AU/view?usp=drivesdk","Generic Worm CYOA Fanfiction JumpChain.pdf")</f>
        <v>Generic Worm CYOA Fanfiction JumpChain.pdf</v>
      </c>
      <c r="B3733" s="12" t="str">
        <f t="shared" ref="B3733:B3737" si="323">HYPERLINK("https://drive.google.com/drive/folders/1vcFnzZH0gghO8GCsCtjKw-hNWsM1VroQ","SB Drive/Complete jumps/Series/Worm")</f>
        <v>SB Drive/Complete jumps/Series/Worm</v>
      </c>
    </row>
    <row r="3734">
      <c r="A3734" s="12" t="str">
        <f>HYPERLINK("https://drive.google.com/file/d/17ldbZ8m6Fp-QX0O3IIvQV1umg7xtja_p/view?usp=drivesdk","Ward JumpChain (Joke Jump ver.).pdf")</f>
        <v>Ward JumpChain (Joke Jump ver.).pdf</v>
      </c>
      <c r="B3734" s="12" t="str">
        <f t="shared" si="323"/>
        <v>SB Drive/Complete jumps/Series/Worm</v>
      </c>
    </row>
    <row r="3735">
      <c r="A3735" s="12" t="str">
        <f>HYPERLINK("https://drive.google.com/file/d/1izLZ3Mr9x7EI4vjAB_z1VercbtiOJqYE/view?usp=drivesdk","Generic Worm Fanfiction JumpChain.pdf")</f>
        <v>Generic Worm Fanfiction JumpChain.pdf</v>
      </c>
      <c r="B3735" s="12" t="str">
        <f t="shared" si="323"/>
        <v>SB Drive/Complete jumps/Series/Worm</v>
      </c>
    </row>
    <row r="3736">
      <c r="A3736" s="12" t="str">
        <f>HYPERLINK("https://drive.google.com/file/d/1Srk_LrKaNah-Bm-0NsVoSSHIgFKet8sW/view?usp=drivesdk","Generic Worm Fanfiction III: Revenge of the Son of Generic Worm Fanfiction JumpChain.pdf")</f>
        <v>Generic Worm Fanfiction III: Revenge of the Son of Generic Worm Fanfiction JumpChain.pdf</v>
      </c>
      <c r="B3736" s="12" t="str">
        <f t="shared" si="323"/>
        <v>SB Drive/Complete jumps/Series/Worm</v>
      </c>
    </row>
    <row r="3737">
      <c r="A3737" s="12" t="str">
        <f>HYPERLINK("https://drive.google.com/file/d/1-1db5GUPEPWI5SgM4QWcqHCY9khslt_y/view?usp=drivesdk","Ward JumpChain.pdf")</f>
        <v>Ward JumpChain.pdf</v>
      </c>
      <c r="B3737" s="12" t="str">
        <f t="shared" si="323"/>
        <v>SB Drive/Complete jumps/Series/Worm</v>
      </c>
    </row>
    <row r="3738">
      <c r="A3738" s="12" t="str">
        <f>HYPERLINK("https://drive.google.com/file/d/1Z5bCajCLdfZGgJhsMQBUWiFWzswgccat/view?usp=drivesdk","A Happy Harry Potter Fanfiction JumpChain.pdf")</f>
        <v>A Happy Harry Potter Fanfiction JumpChain.pdf</v>
      </c>
      <c r="B3738" s="12" t="str">
        <f t="shared" ref="B3738:B3741" si="324">HYPERLINK("https://drive.google.com/drive/folders/1sfWieJWzw9aA1WRTQr0LgnIrcjyZrrDm","SB Drive/Complete jumps/Series/Harry Potter")</f>
        <v>SB Drive/Complete jumps/Series/Harry Potter</v>
      </c>
    </row>
    <row r="3739">
      <c r="A3739" s="12" t="str">
        <f>HYPERLINK("https://drive.google.com/file/d/1RRkkOSyk73VeCxvJoeJ9hh9-fDVXsip2/view?usp=drivesdk","Partially Kissed Hero JumpChain.pdf")</f>
        <v>Partially Kissed Hero JumpChain.pdf</v>
      </c>
      <c r="B3739" s="12" t="str">
        <f t="shared" si="324"/>
        <v>SB Drive/Complete jumps/Series/Harry Potter</v>
      </c>
    </row>
    <row r="3740">
      <c r="A3740" s="12" t="str">
        <f>HYPERLINK("https://drive.google.com/file/d/1Yf3gA5zwNirBVLHhNVRUmSL-8B66h1jt/view?usp=drivesdk","Harry Potter and the Methods of Rationality JumpChain.pdf")</f>
        <v>Harry Potter and the Methods of Rationality JumpChain.pdf</v>
      </c>
      <c r="B3740" s="12" t="str">
        <f t="shared" si="324"/>
        <v>SB Drive/Complete jumps/Series/Harry Potter</v>
      </c>
    </row>
    <row r="3741">
      <c r="A3741" s="12" t="str">
        <f>HYPERLINK("https://drive.google.com/file/d/1GX7oeYt88WKpYCTwbdE-s6ypNIvNkWw7/view?usp=drivesdk","Generic Harry Potter Fanfiction JumpChain.pdf")</f>
        <v>Generic Harry Potter Fanfiction JumpChain.pdf</v>
      </c>
      <c r="B3741" s="12" t="str">
        <f t="shared" si="324"/>
        <v>SB Drive/Complete jumps/Series/Harry Potter</v>
      </c>
    </row>
    <row r="3742">
      <c r="A3742" s="12" t="str">
        <f>HYPERLINK("https://drive.google.com/file/d/1tP1VYudXCrtr_viQ3wUIAy5LddKiXBXs/view?usp=drivesdk","Warhammer Fantasy - High Elf JumpChain.pdf")</f>
        <v>Warhammer Fantasy - High Elf JumpChain.pdf</v>
      </c>
      <c r="B3742" s="12" t="str">
        <f t="shared" ref="B3742:B3744" si="325">HYPERLINK("https://drive.google.com/drive/folders/1DDS4uFlUZ-S-i2NuDRXuqoD4W3N8NyaF","SB Drive/Complete jumps/Series/Warhammer Fantasy")</f>
        <v>SB Drive/Complete jumps/Series/Warhammer Fantasy</v>
      </c>
    </row>
    <row r="3743">
      <c r="A3743" s="12" t="str">
        <f>HYPERLINK("https://drive.google.com/file/d/1p-zXfnn-vY_QFf0K-gmHVfdbUHy7fMhf/view?usp=drivesdk","Warhammer Fantasy - Dark Elves JumpChain.pdf")</f>
        <v>Warhammer Fantasy - Dark Elves JumpChain.pdf</v>
      </c>
      <c r="B3743" s="12" t="str">
        <f t="shared" si="325"/>
        <v>SB Drive/Complete jumps/Series/Warhammer Fantasy</v>
      </c>
    </row>
    <row r="3744">
      <c r="A3744" s="12" t="str">
        <f>HYPERLINK("https://drive.google.com/file/d/1BFysO2lWyZoKDjALJm_mOvbwDOHPS1G4/view?usp=drivesdk","Warhammer Fantasy - Karaz Ankor JumpChain.pdf")</f>
        <v>Warhammer Fantasy - Karaz Ankor JumpChain.pdf</v>
      </c>
      <c r="B3744" s="12" t="str">
        <f t="shared" si="325"/>
        <v>SB Drive/Complete jumps/Series/Warhammer Fantasy</v>
      </c>
    </row>
    <row r="3745">
      <c r="A3745" s="12" t="str">
        <f>HYPERLINK("https://drive.google.com/file/d/1RqgKlb1smwHL7nZ9rx-kbvVrFOKPjGhT/view?usp=drivesdk","Warhammer 40.000 - Guardsmen JumpChain.pdf")</f>
        <v>Warhammer 40.000 - Guardsmen JumpChain.pdf</v>
      </c>
      <c r="B3745" s="12" t="str">
        <f t="shared" ref="B3745:B3754" si="326">HYPERLINK("https://drive.google.com/drive/folders/1WNxyl9qDhcXYCgCQZoaBCTH1KiR7ecuJ","SB Drive/Complete jumps/Series/Warhammer 40.000")</f>
        <v>SB Drive/Complete jumps/Series/Warhammer 40.000</v>
      </c>
    </row>
    <row r="3746">
      <c r="A3746" s="12" t="str">
        <f>HYPERLINK("https://drive.google.com/file/d/1X1dO3dIuDgBv-wg8FZsSlj4qnJRch11G/view?usp=drivesdk","Warhammer 40.000 - The Warp JumpChain.pdf")</f>
        <v>Warhammer 40.000 - The Warp JumpChain.pdf</v>
      </c>
      <c r="B3746" s="12" t="str">
        <f t="shared" si="326"/>
        <v>SB Drive/Complete jumps/Series/Warhammer 40.000</v>
      </c>
    </row>
    <row r="3747">
      <c r="A3747" s="12" t="str">
        <f>HYPERLINK("https://drive.google.com/file/d/10P881j-3prf6pTXdiJy4kHl9JtGb2hdQ/view?usp=drivesdk","Warhammer 40.000 - Minor Xenos JumpChain.pdf")</f>
        <v>Warhammer 40.000 - Minor Xenos JumpChain.pdf</v>
      </c>
      <c r="B3747" s="12" t="str">
        <f t="shared" si="326"/>
        <v>SB Drive/Complete jumps/Series/Warhammer 40.000</v>
      </c>
    </row>
    <row r="3748">
      <c r="A3748" s="12" t="str">
        <f>HYPERLINK("https://drive.google.com/file/d/1LT5fVloh6avedfmWODvUzqUUJ1spU7v-/view?usp=drivesdk","Warhammer 40.000 - Ynnari JumpChain.pdf")</f>
        <v>Warhammer 40.000 - Ynnari JumpChain.pdf</v>
      </c>
      <c r="B3748" s="12" t="str">
        <f t="shared" si="326"/>
        <v>SB Drive/Complete jumps/Series/Warhammer 40.000</v>
      </c>
    </row>
    <row r="3749">
      <c r="A3749" s="12" t="str">
        <f>HYPERLINK("https://drive.google.com/file/d/1iUPdYWQIz4HYm5xIfeM4xTAHg_3UUD64/view?usp=drivesdk","Warhammer 40.000 - T'au JumpChain.pdf")</f>
        <v>Warhammer 40.000 - T'au JumpChain.pdf</v>
      </c>
      <c r="B3749" s="12" t="str">
        <f t="shared" si="326"/>
        <v>SB Drive/Complete jumps/Series/Warhammer 40.000</v>
      </c>
    </row>
    <row r="3750">
      <c r="A3750" s="12" t="str">
        <f>HYPERLINK("https://drive.google.com/file/d/1qI7YXvgg_nUAZ8BQJkbGTYcIEqPiPgxv/view?usp=drivesdk","Warhammer 40.000 - Squats JumpChain.pdf")</f>
        <v>Warhammer 40.000 - Squats JumpChain.pdf</v>
      </c>
      <c r="B3750" s="12" t="str">
        <f t="shared" si="326"/>
        <v>SB Drive/Complete jumps/Series/Warhammer 40.000</v>
      </c>
    </row>
    <row r="3751">
      <c r="A3751" s="12" t="str">
        <f>HYPERLINK("https://drive.google.com/file/d/1Ixsk6xlk4cshxHTIG2I1E17LI7f5Lkv0/view?usp=drivesdk","Warhammer 40.000 - Space Marine V5 + DLC1.pdf")</f>
        <v>Warhammer 40.000 - Space Marine V5 + DLC1.pdf</v>
      </c>
      <c r="B3751" s="12" t="str">
        <f t="shared" si="326"/>
        <v>SB Drive/Complete jumps/Series/Warhammer 40.000</v>
      </c>
    </row>
    <row r="3752">
      <c r="A3752" s="12" t="str">
        <f>HYPERLINK("https://drive.google.com/file/d/1b_rjNNZnlkYdJljZg0eylIgVsGteRcMZ/view?usp=drivesdk","Warhammer 40.000 - Orks JumpChain.pdf")</f>
        <v>Warhammer 40.000 - Orks JumpChain.pdf</v>
      </c>
      <c r="B3752" s="12" t="str">
        <f t="shared" si="326"/>
        <v>SB Drive/Complete jumps/Series/Warhammer 40.000</v>
      </c>
    </row>
    <row r="3753">
      <c r="A3753" s="12" t="str">
        <f>HYPERLINK("https://drive.google.com/file/d/1rOgAcfzQSfuKpfTp6O50553_76WsbaIv/view?usp=drivesdk","Warhammer 40.000 - Necrons JumpChain (SB Edition).pdf")</f>
        <v>Warhammer 40.000 - Necrons JumpChain (SB Edition).pdf</v>
      </c>
      <c r="B3753" s="12" t="str">
        <f t="shared" si="326"/>
        <v>SB Drive/Complete jumps/Series/Warhammer 40.000</v>
      </c>
    </row>
    <row r="3754">
      <c r="A3754" s="12" t="str">
        <f>HYPERLINK("https://drive.google.com/file/d/1xPVyr91wknvt0tpvG7gl_EuC6bzZIVpD/view?usp=drivesdk","Warhammer 40.000 - Imperial Assassins JumpChain.pdf")</f>
        <v>Warhammer 40.000 - Imperial Assassins JumpChain.pdf</v>
      </c>
      <c r="B3754" s="12" t="str">
        <f t="shared" si="326"/>
        <v>SB Drive/Complete jumps/Series/Warhammer 40.000</v>
      </c>
    </row>
    <row r="3755">
      <c r="A3755" s="12" t="str">
        <f>HYPERLINK("https://drive.google.com/file/d/1vVFYgKIoHViGiGwWebWlAj4tpNRvZYbC/view?usp=drivesdk","Nexusverse - Paradise JumpChain.pdf")</f>
        <v>Nexusverse - Paradise JumpChain.pdf</v>
      </c>
      <c r="B3755" s="12" t="str">
        <f t="shared" ref="B3755:B3759" si="327">HYPERLINK("https://drive.google.com/drive/folders/1tuPUaTUqXAJ_7KFuAubmv3llHYzDPqE7","SB Drive/Complete jumps/Series/Nexus")</f>
        <v>SB Drive/Complete jumps/Series/Nexus</v>
      </c>
    </row>
    <row r="3756">
      <c r="A3756" s="12" t="str">
        <f>HYPERLINK("https://drive.google.com/file/d/1Y8NMp0X4faFcNzbzuiklgpIrSJs9--S9/view?usp=drivesdk","Nexusverse - Fortuna JumpChain.pdf")</f>
        <v>Nexusverse - Fortuna JumpChain.pdf</v>
      </c>
      <c r="B3756" s="12" t="str">
        <f t="shared" si="327"/>
        <v>SB Drive/Complete jumps/Series/Nexus</v>
      </c>
    </row>
    <row r="3757">
      <c r="A3757" s="12" t="str">
        <f>HYPERLINK("https://drive.google.com/file/d/1lboZGJPe5GN85xQXHmK3YCo-5P3KpWBe/view?usp=drivesdk","Nexusverse - Betwixt JumpChain.pdf")</f>
        <v>Nexusverse - Betwixt JumpChain.pdf</v>
      </c>
      <c r="B3757" s="12" t="str">
        <f t="shared" si="327"/>
        <v>SB Drive/Complete jumps/Series/Nexus</v>
      </c>
    </row>
    <row r="3758">
      <c r="A3758" s="12" t="str">
        <f>HYPERLINK("https://drive.google.com/file/d/1liFEpvNm9lVezN7hZyb_uswUaavDqzjh/view?usp=drivesdk","Nexus Planar Supplement.pdf")</f>
        <v>Nexus Planar Supplement.pdf</v>
      </c>
      <c r="B3758" s="12" t="str">
        <f t="shared" si="327"/>
        <v>SB Drive/Complete jumps/Series/Nexus</v>
      </c>
    </row>
    <row r="3759">
      <c r="A3759" s="12" t="str">
        <f>HYPERLINK("https://drive.google.com/file/d/1_hY_CZcxV5JsxPixmjwKTCQc743njtKo/view?usp=drivesdk","Nexus JumpChain.pdf")</f>
        <v>Nexus JumpChain.pdf</v>
      </c>
      <c r="B3759" s="12" t="str">
        <f t="shared" si="327"/>
        <v>SB Drive/Complete jumps/Series/Nexus</v>
      </c>
    </row>
    <row r="3760">
      <c r="A3760" s="12" t="str">
        <f>HYPERLINK("https://drive.google.com/file/d/0B9z8OBNwez4nZFFmV2RTRGdydXM/view?usp=drivesdk&amp;resourcekey=0-UllFvj1CG-b9s5JkMBE2IQ","Werewolf the Apocalypse JumpChain.pdf")</f>
        <v>Werewolf the Apocalypse JumpChain.pdf</v>
      </c>
      <c r="B3760" s="12" t="str">
        <f t="shared" ref="B3760:B3764" si="328">HYPERLINK("https://drive.google.com/drive/folders/1Lw85i7BwPNvaUICodsJE10fiA96IhKm0","SB Drive/Complete jumps/Series/World of Darkness")</f>
        <v>SB Drive/Complete jumps/Series/World of Darkness</v>
      </c>
    </row>
    <row r="3761">
      <c r="A3761" s="12" t="str">
        <f>HYPERLINK("https://drive.google.com/file/d/1jqZkzAC5VPxjHJ8PE3Tn9HbWPQNXh1m4/view?usp=drivesdk","Omnibus Old World of Darkness JumpChain.pdf")</f>
        <v>Omnibus Old World of Darkness JumpChain.pdf</v>
      </c>
      <c r="B3761" s="12" t="str">
        <f t="shared" si="328"/>
        <v>SB Drive/Complete jumps/Series/World of Darkness</v>
      </c>
    </row>
    <row r="3762">
      <c r="A3762" s="12" t="str">
        <f>HYPERLINK("https://drive.google.com/file/d/1RH3V8tJZ2iPK43V2ZqtkFRb2G-Vx7Mfy/view?usp=drivesdk","Omnibus New World of Darkness JumpChain.pdf")</f>
        <v>Omnibus New World of Darkness JumpChain.pdf</v>
      </c>
      <c r="B3762" s="12" t="str">
        <f t="shared" si="328"/>
        <v>SB Drive/Complete jumps/Series/World of Darkness</v>
      </c>
    </row>
    <row r="3763">
      <c r="A3763" s="12" t="str">
        <f>HYPERLINK("https://drive.google.com/file/d/0By8NY-NO4-N5RlY1S3NPUTFIZXM/view?usp=drivesdk&amp;resourcekey=0-yL3KrmlMGuPeS8qxcjz65A","Mage The Ascension JumpChain.pdf")</f>
        <v>Mage The Ascension JumpChain.pdf</v>
      </c>
      <c r="B3763" s="12" t="str">
        <f t="shared" si="328"/>
        <v>SB Drive/Complete jumps/Series/World of Darkness</v>
      </c>
    </row>
    <row r="3764">
      <c r="A3764" s="12" t="str">
        <f>HYPERLINK("https://drive.google.com/file/d/0BwQDrIaldcqMRFpJRWlMMDQxa0k/view?usp=drivesdk&amp;resourcekey=0-LliHNkl1hXGvh0Z-gdhVuQ","Mage the Ascension - Panopticon JumpChain.pdf")</f>
        <v>Mage the Ascension - Panopticon JumpChain.pdf</v>
      </c>
      <c r="B3764" s="12" t="str">
        <f t="shared" si="328"/>
        <v>SB Drive/Complete jumps/Series/World of Darkness</v>
      </c>
    </row>
    <row r="3765">
      <c r="A3765" s="12" t="str">
        <f>HYPERLINK("https://drive.google.com/file/d/1TTdiIyd-X3vjfd3TEL3dxuDP9K9CleQF/view?usp=drivesdk","The Fountain JumpChain - Biosphere Supplement.pdf")</f>
        <v>The Fountain JumpChain - Biosphere Supplement.pdf</v>
      </c>
      <c r="B3765" s="12" t="str">
        <f t="shared" ref="B3765:B3766" si="329">HYPERLINK("https://drive.google.com/drive/folders/0By8NY-NO4-N5WlEyOUowSnpnRTA?resourcekey=0-SXE4_RYHzcndk7jGVdQfKQ","SB Drive/Complete jumps/Series/The Fountain")</f>
        <v>SB Drive/Complete jumps/Series/The Fountain</v>
      </c>
    </row>
    <row r="3766">
      <c r="A3766" s="12" t="str">
        <f>HYPERLINK("https://drive.google.com/file/d/1SNRfQF_WX5NoAUZgkLHv6bOfU-VpOHKo/view?usp=drivesdk","The Fountain JumpChain.pdf")</f>
        <v>The Fountain JumpChain.pdf</v>
      </c>
      <c r="B3766" s="12" t="str">
        <f t="shared" si="329"/>
        <v>SB Drive/Complete jumps/Series/The Fountain</v>
      </c>
    </row>
    <row r="3767">
      <c r="A3767" s="12" t="str">
        <f>HYPERLINK("https://drive.google.com/file/d/1eLM1_LWCyDUnMCL0B5LA2EQGDDiww-zs/view?usp=drivesdk","[Up for Adoption] SB Generic Superhero Jump (1).pdf")</f>
        <v>[Up for Adoption] SB Generic Superhero Jump (1).pdf</v>
      </c>
      <c r="B3767" s="12" t="str">
        <f t="shared" ref="B3767:B3774" si="330">HYPERLINK("https://drive.google.com/drive/folders/0By8NY-NO4-N5SXA3aDZrb1lRMVE?resourcekey=0-QdJfl8TjoOK-_zkN29y8YA","SB Drive/Not Complete Jumps")</f>
        <v>SB Drive/Not Complete Jumps</v>
      </c>
    </row>
    <row r="3768">
      <c r="A3768" s="12" t="str">
        <f>HYPERLINK("https://drive.google.com/file/d/0By8NY-NO4-N5NFlpQkFTMzlyeEk/view?usp=drivesdk&amp;resourcekey=0-L_JQ57qh2RzyTH7LVhA9jA","Is It Wrong To Try To Pick Up Girls In A Dungeon.pdf")</f>
        <v>Is It Wrong To Try To Pick Up Girls In A Dungeon.pdf</v>
      </c>
      <c r="B3768" s="12" t="str">
        <f t="shared" si="330"/>
        <v>SB Drive/Not Complete Jumps</v>
      </c>
    </row>
    <row r="3769">
      <c r="A3769" s="12" t="str">
        <f>HYPERLINK("https://drive.google.com/file/d/0By8NY-NO4-N5Q1c5WlZGU0RscGM/view?usp=drivesdk&amp;resourcekey=0-lQAuaNJYoYJ4JzO1VKu6UA","Ninja Assassin Jumpchain.pdf")</f>
        <v>Ninja Assassin Jumpchain.pdf</v>
      </c>
      <c r="B3769" s="12" t="str">
        <f t="shared" si="330"/>
        <v>SB Drive/Not Complete Jumps</v>
      </c>
    </row>
    <row r="3770">
      <c r="A3770" s="12" t="str">
        <f>HYPERLINK("https://drive.google.com/file/d/0By8NY-NO4-N5ajROSm1ZQVU4U0U/view?usp=drivesdk&amp;resourcekey=0-Dd3Ndx1BlmwIW8Jvc0nYTg","Shia Jump 1.pdf")</f>
        <v>Shia Jump 1.pdf</v>
      </c>
      <c r="B3770" s="12" t="str">
        <f t="shared" si="330"/>
        <v>SB Drive/Not Complete Jumps</v>
      </c>
    </row>
    <row r="3771">
      <c r="A3771" s="12" t="str">
        <f>HYPERLINK("https://drive.google.com/file/d/0By8NY-NO4-N5dHZ3UHNsWmZHYjA/view?usp=drivesdk&amp;resourcekey=0-ZQL7LlgRxDitynN7cvOiJQ","Read or Die Jump.pdf")</f>
        <v>Read or Die Jump.pdf</v>
      </c>
      <c r="B3771" s="12" t="str">
        <f t="shared" si="330"/>
        <v>SB Drive/Not Complete Jumps</v>
      </c>
    </row>
    <row r="3772">
      <c r="A3772" s="12" t="str">
        <f>HYPERLINK("https://drive.google.com/file/d/0By8NY-NO4-N5akc0WFlLdTdQdGc/view?usp=drivesdk&amp;resourcekey=0-isrNSUloADzhZ5tAPhdjEA","Keijo!!!.pdf")</f>
        <v>Keijo!!!.pdf</v>
      </c>
      <c r="B3772" s="12" t="str">
        <f t="shared" si="330"/>
        <v>SB Drive/Not Complete Jumps</v>
      </c>
    </row>
    <row r="3773">
      <c r="A3773" s="12" t="str">
        <f>HYPERLINK("https://drive.google.com/file/d/0By8NY-NO4-N5ZDZtaGxyd0JxVk0/view?usp=drivesdk&amp;resourcekey=0-FKtivLNd_y_LuSrYTHq_ng","Inheritance Cycle JumpChain.pdf")</f>
        <v>Inheritance Cycle JumpChain.pdf</v>
      </c>
      <c r="B3773" s="12" t="str">
        <f t="shared" si="330"/>
        <v>SB Drive/Not Complete Jumps</v>
      </c>
    </row>
    <row r="3774">
      <c r="A3774" s="12" t="str">
        <f>HYPERLINK("https://drive.google.com/file/d/0By8NY-NO4-N5NjVMZENXRUFrdHM/view?usp=drivesdk&amp;resourcekey=0-Nh7QqU9V7qaiv5v5Q8480Q","GenericXianxiaJump.pdf")</f>
        <v>GenericXianxiaJump.pdf</v>
      </c>
      <c r="B3774" s="12" t="str">
        <f t="shared" si="330"/>
        <v>SB Drive/Not Complete Jumps</v>
      </c>
    </row>
    <row r="3775">
      <c r="A3775" s="12" t="str">
        <f>HYPERLINK("https://drive.google.com/file/d/0By8NY-NO4-N5UWJzWXMzMEk4WU0/view?usp=drivesdk&amp;resourcekey=0-u9rZ7zQKW7aUEsE-RS-h5g","NamedSupplement.pdf")</f>
        <v>NamedSupplement.pdf</v>
      </c>
      <c r="B3775" s="12" t="str">
        <f t="shared" ref="B3775:B3776" si="331">HYPERLINK("https://drive.google.com/drive/folders/0By8NY-NO4-N5VW4yRTRQVUQtQnM?resourcekey=0-PWsfzs80ECdwcGqWJEA5MA","SB Drive/Not Complete Jumps/A Practical Guide to Evil")</f>
        <v>SB Drive/Not Complete Jumps/A Practical Guide to Evil</v>
      </c>
    </row>
    <row r="3776">
      <c r="A3776" s="12" t="str">
        <f>HYPERLINK("https://drive.google.com/file/d/0By8NY-NO4-N5NjZvRkdCamJKLTA/view?usp=drivesdk&amp;resourcekey=0-bVZSLYrwnXE6DuiWVcsy8w","APracticalGuidetoEvil.pdf")</f>
        <v>APracticalGuidetoEvil.pdf</v>
      </c>
      <c r="B3776" s="12" t="str">
        <f t="shared" si="331"/>
        <v>SB Drive/Not Complete Jumps/A Practical Guide to Evil</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2" t="str">
        <f>HYPERLINK("https://drive.google.com/file/d/1tk_OuasxHJXD3oRLyaG1RaA_C4OAHKDs/view?usp=drivesdk","Spelunky.pdf")</f>
        <v>Spelunky.pdf</v>
      </c>
      <c r="B1" s="12" t="str">
        <f t="shared" ref="B1:B50" si="1">HYPERLINK("https://drive.google.com/drive/folders/1nr0XmVY5tuD74-PEWVAWStrUeC_m5Q4P","DriveAnon's 4chan Drive/2. EVERYONE ELSE'S JUMPS/5. Gauntlets")</f>
        <v>DriveAnon's 4chan Drive/2. EVERYONE ELSE'S JUMPS/5. Gauntlets</v>
      </c>
    </row>
    <row r="2">
      <c r="A2" s="12" t="str">
        <f>HYPERLINK("https://drive.google.com/file/d/1JbX_I9Wh7UWpTOyyGNwjwBgnwLKgU0jQ/view?usp=drivesdk","Exalted - Mortal Heroes.pdf")</f>
        <v>Exalted - Mortal Heroes.pdf</v>
      </c>
      <c r="B2" s="12" t="str">
        <f t="shared" si="1"/>
        <v>DriveAnon's 4chan Drive/2. EVERYONE ELSE'S JUMPS/5. Gauntlets</v>
      </c>
    </row>
    <row r="3">
      <c r="A3" s="12" t="str">
        <f>HYPERLINK("https://drive.google.com/file/d/1wswn3re5WEwJEjz5WjXJfp42sHetBxWd/view?usp=drivesdk","Oregon Trail Gauntlet.pdf")</f>
        <v>Oregon Trail Gauntlet.pdf</v>
      </c>
      <c r="B3" s="12" t="str">
        <f t="shared" si="1"/>
        <v>DriveAnon's 4chan Drive/2. EVERYONE ELSE'S JUMPS/5. Gauntlets</v>
      </c>
    </row>
    <row r="4">
      <c r="A4" s="12" t="str">
        <f>HYPERLINK("https://drive.google.com/file/d/1XfyZFkjq8-Wck2cj1vO5QezL-TsTcbJF/view?usp=drivesdk","The Binding of Isaac Gauntlet.pdf")</f>
        <v>The Binding of Isaac Gauntlet.pdf</v>
      </c>
      <c r="B4" s="12" t="str">
        <f t="shared" si="1"/>
        <v>DriveAnon's 4chan Drive/2. EVERYONE ELSE'S JUMPS/5. Gauntlets</v>
      </c>
    </row>
    <row r="5">
      <c r="A5" s="12" t="str">
        <f>HYPERLINK("https://drive.google.com/file/d/1iIGFrX5NvN4ozdSAWEiY3azgrPphg3qd/view?usp=drivesdk","Dark Messiah.pdf")</f>
        <v>Dark Messiah.pdf</v>
      </c>
      <c r="B5" s="12" t="str">
        <f t="shared" si="1"/>
        <v>DriveAnon's 4chan Drive/2. EVERYONE ELSE'S JUMPS/5. Gauntlets</v>
      </c>
    </row>
    <row r="6">
      <c r="A6" s="12" t="str">
        <f>HYPERLINK("https://drive.google.com/file/d/1r4RQupJuP3dPDz2epnZwbFcm-Ry5AZ_S/view?usp=drivesdk","Darkwood.pdf")</f>
        <v>Darkwood.pdf</v>
      </c>
      <c r="B6" s="12" t="str">
        <f t="shared" si="1"/>
        <v>DriveAnon's 4chan Drive/2. EVERYONE ELSE'S JUMPS/5. Gauntlets</v>
      </c>
    </row>
    <row r="7">
      <c r="A7" s="12" t="str">
        <f>HYPERLINK("https://drive.google.com/file/d/1hy1zcLNsJNZClKcPN4WKyCqZmN4LKuNr/view?usp=drivesdk","Ruby Quest.pdf")</f>
        <v>Ruby Quest.pdf</v>
      </c>
      <c r="B7" s="12" t="str">
        <f t="shared" si="1"/>
        <v>DriveAnon's 4chan Drive/2. EVERYONE ELSE'S JUMPS/5. Gauntlets</v>
      </c>
    </row>
    <row r="8">
      <c r="A8" s="12" t="str">
        <f>HYPERLINK("https://drive.google.com/file/d/1thpk1bCmHJ0djDZScvDRpASif8nRh-kH/view?usp=drivesdk","Subnautica.pdf")</f>
        <v>Subnautica.pdf</v>
      </c>
      <c r="B8" s="12" t="str">
        <f t="shared" si="1"/>
        <v>DriveAnon's 4chan Drive/2. EVERYONE ELSE'S JUMPS/5. Gauntlets</v>
      </c>
    </row>
    <row r="9">
      <c r="A9" s="12" t="str">
        <f>HYPERLINK("https://drive.google.com/file/d/1lR0Qye-bdGYKvxyyIU_ijqgof2EspzxM/view?usp=drivesdk","Synthetik.pdf")</f>
        <v>Synthetik.pdf</v>
      </c>
      <c r="B9" s="12" t="str">
        <f t="shared" si="1"/>
        <v>DriveAnon's 4chan Drive/2. EVERYONE ELSE'S JUMPS/5. Gauntlets</v>
      </c>
    </row>
    <row r="10">
      <c r="A10" s="12" t="str">
        <f>HYPERLINK("https://drive.google.com/file/d/1-mPrWx03hTfpvWoJN7t5i8GJFvd2lNzk/view?usp=drivesdk","One Finger Death Punch Gauntlet.pdf")</f>
        <v>One Finger Death Punch Gauntlet.pdf</v>
      </c>
      <c r="B10" s="12" t="str">
        <f t="shared" si="1"/>
        <v>DriveAnon's 4chan Drive/2. EVERYONE ELSE'S JUMPS/5. Gauntlets</v>
      </c>
    </row>
    <row r="11">
      <c r="A11" s="12" t="str">
        <f>HYPERLINK("https://drive.google.com/file/d/16TpUaKW7c6kTd9scvcnCgJK5olOkEd7z/view?usp=drivesdk","HEX (Gauntlet).pdf")</f>
        <v>HEX (Gauntlet).pdf</v>
      </c>
      <c r="B11" s="12" t="str">
        <f t="shared" si="1"/>
        <v>DriveAnon's 4chan Drive/2. EVERYONE ELSE'S JUMPS/5. Gauntlets</v>
      </c>
    </row>
    <row r="12">
      <c r="A12" s="12" t="str">
        <f>HYPERLINK("https://drive.google.com/file/d/19-gr-WjyrnFazc7wU6WGspcerV9gyaiR/view?usp=drivesdk","Amazing Island Gauntlet.pdf")</f>
        <v>Amazing Island Gauntlet.pdf</v>
      </c>
      <c r="B12" s="12" t="str">
        <f t="shared" si="1"/>
        <v>DriveAnon's 4chan Drive/2. EVERYONE ELSE'S JUMPS/5. Gauntlets</v>
      </c>
    </row>
    <row r="13">
      <c r="A13" s="12" t="str">
        <f>HYPERLINK("https://drive.google.com/file/d/1AIK0XoXWjTv0oqwv1jP3CNyCyS3J9NF2/view?usp=drivesdk","Three Star Gauntlet.pdf")</f>
        <v>Three Star Gauntlet.pdf</v>
      </c>
      <c r="B13" s="12" t="str">
        <f t="shared" si="1"/>
        <v>DriveAnon's 4chan Drive/2. EVERYONE ELSE'S JUMPS/5. Gauntlets</v>
      </c>
    </row>
    <row r="14">
      <c r="A14" s="12" t="str">
        <f>HYPERLINK("https://drive.google.com/file/d/1BSI6-s7aP33g5_-mxM1McH-zP8pEgMbX/view?usp=drivesdk","Final Fantasy - Mystic Quest Gauntlet.pdf")</f>
        <v>Final Fantasy - Mystic Quest Gauntlet.pdf</v>
      </c>
      <c r="B14" s="12" t="str">
        <f t="shared" si="1"/>
        <v>DriveAnon's 4chan Drive/2. EVERYONE ELSE'S JUMPS/5. Gauntlets</v>
      </c>
    </row>
    <row r="15">
      <c r="A15" s="12" t="str">
        <f>HYPERLINK("https://drive.google.com/file/d/1Ck06oqtfSCtJrvYhNwi47pP8de3n4Wvo/view?usp=drivesdk","Halo Gauntlet.pdf")</f>
        <v>Halo Gauntlet.pdf</v>
      </c>
      <c r="B15" s="12" t="str">
        <f t="shared" si="1"/>
        <v>DriveAnon's 4chan Drive/2. EVERYONE ELSE'S JUMPS/5. Gauntlets</v>
      </c>
    </row>
    <row r="16">
      <c r="A16" s="12" t="str">
        <f>HYPERLINK("https://drive.google.com/file/d/1CpahvXznA8pBreFJ6uXloiCJs7wR8jqI/view?usp=drivesdk","Gaki no Tsukai Absolutely No Laughing 24 Hour Gauntlet..pdf")</f>
        <v>Gaki no Tsukai Absolutely No Laughing 24 Hour Gauntlet..pdf</v>
      </c>
      <c r="B16" s="12" t="str">
        <f t="shared" si="1"/>
        <v>DriveAnon's 4chan Drive/2. EVERYONE ELSE'S JUMPS/5. Gauntlets</v>
      </c>
    </row>
    <row r="17">
      <c r="A17" s="12" t="str">
        <f>HYPERLINK("https://drive.google.com/file/d/1D_qCvEXqKT7jSlXGag8mvjBOyWuQBiT3/view?usp=drivesdk","Limbo Gauntlet.pdf")</f>
        <v>Limbo Gauntlet.pdf</v>
      </c>
      <c r="B17" s="12" t="str">
        <f t="shared" si="1"/>
        <v>DriveAnon's 4chan Drive/2. EVERYONE ELSE'S JUMPS/5. Gauntlets</v>
      </c>
    </row>
    <row r="18">
      <c r="A18" s="12" t="str">
        <f>HYPERLINK("https://drive.google.com/file/d/1JfrPsyL9F8Ikrs7CCyFU9zMooKye_mO1/view?usp=drivesdk","SOMA Gauntlet.pdf")</f>
        <v>SOMA Gauntlet.pdf</v>
      </c>
      <c r="B18" s="12" t="str">
        <f t="shared" si="1"/>
        <v>DriveAnon's 4chan Drive/2. EVERYONE ELSE'S JUMPS/5. Gauntlets</v>
      </c>
    </row>
    <row r="19">
      <c r="A19" s="12" t="str">
        <f>HYPERLINK("https://drive.google.com/file/d/1L6BTHIrXIBETEVepM1--XHcfTGO-h7Dc/view?usp=drivesdk","Ib Gauntlet.pdf")</f>
        <v>Ib Gauntlet.pdf</v>
      </c>
      <c r="B19" s="12" t="str">
        <f t="shared" si="1"/>
        <v>DriveAnon's 4chan Drive/2. EVERYONE ELSE'S JUMPS/5. Gauntlets</v>
      </c>
    </row>
    <row r="20">
      <c r="A20" s="12" t="str">
        <f>HYPERLINK("https://drive.google.com/file/d/1NmtN9jAapAacNikERRkGK7dscV-025AZ/view?usp=drivesdk","Tap Titans Gauntlet.pdf")</f>
        <v>Tap Titans Gauntlet.pdf</v>
      </c>
      <c r="B20" s="12" t="str">
        <f t="shared" si="1"/>
        <v>DriveAnon's 4chan Drive/2. EVERYONE ELSE'S JUMPS/5. Gauntlets</v>
      </c>
    </row>
    <row r="21">
      <c r="A21" s="12" t="str">
        <f>HYPERLINK("https://drive.google.com/file/d/1Pdc5r8au1S7J8elPtEjxCPn98H14mnG2/view?usp=drivesdk","Conspiracy Theorist Gauntlet.pdf")</f>
        <v>Conspiracy Theorist Gauntlet.pdf</v>
      </c>
      <c r="B21" s="12" t="str">
        <f t="shared" si="1"/>
        <v>DriveAnon's 4chan Drive/2. EVERYONE ELSE'S JUMPS/5. Gauntlets</v>
      </c>
    </row>
    <row r="22">
      <c r="A22" s="12" t="str">
        <f>HYPERLINK("https://drive.google.com/file/d/1SOoim6zaGBPMMgeeruVniefT5F8a9wLe/view?usp=drivesdk","Yume Nikki Gauntlet.pdf")</f>
        <v>Yume Nikki Gauntlet.pdf</v>
      </c>
      <c r="B22" s="12" t="str">
        <f t="shared" si="1"/>
        <v>DriveAnon's 4chan Drive/2. EVERYONE ELSE'S JUMPS/5. Gauntlets</v>
      </c>
    </row>
    <row r="23">
      <c r="A23" s="12" t="str">
        <f>HYPERLINK("https://drive.google.com/file/d/1Sou9TohXRCGQV6Kx5hCAZ2NSYmuZ3JmU/view?usp=drivesdk","Monopoly Gauntlet.pdf")</f>
        <v>Monopoly Gauntlet.pdf</v>
      </c>
      <c r="B23" s="12" t="str">
        <f t="shared" si="1"/>
        <v>DriveAnon's 4chan Drive/2. EVERYONE ELSE'S JUMPS/5. Gauntlets</v>
      </c>
    </row>
    <row r="24">
      <c r="A24" s="12" t="str">
        <f>HYPERLINK("https://drive.google.com/file/d/1TnQdcYQlGd_h-ZsMA2kdcYq-0KOo3PvT/view?usp=drivesdk","LLTQ Gauntlet V1.0.pdf")</f>
        <v>LLTQ Gauntlet V1.0.pdf</v>
      </c>
      <c r="B24" s="12" t="str">
        <f t="shared" si="1"/>
        <v>DriveAnon's 4chan Drive/2. EVERYONE ELSE'S JUMPS/5. Gauntlets</v>
      </c>
    </row>
    <row r="25">
      <c r="A25" s="12" t="str">
        <f>HYPERLINK("https://drive.google.com/file/d/1USdJLlr3pAgdNsJIrf2b82IFK1beL6yC/view?usp=drivesdk","Umineko - The Rokkenjima Catbox  Gauntlet.pdf")</f>
        <v>Umineko - The Rokkenjima Catbox  Gauntlet.pdf</v>
      </c>
      <c r="B25" s="12" t="str">
        <f t="shared" si="1"/>
        <v>DriveAnon's 4chan Drive/2. EVERYONE ELSE'S JUMPS/5. Gauntlets</v>
      </c>
    </row>
    <row r="26">
      <c r="A26" s="12" t="str">
        <f>HYPERLINK("https://drive.google.com/file/d/1VEKo5p96CiFw55gbpgXQLi2sHFNJUMk1/view?usp=drivesdk","Diaries of a Spaceport Janitor Gauntlet.pdf")</f>
        <v>Diaries of a Spaceport Janitor Gauntlet.pdf</v>
      </c>
      <c r="B26" s="12" t="str">
        <f t="shared" si="1"/>
        <v>DriveAnon's 4chan Drive/2. EVERYONE ELSE'S JUMPS/5. Gauntlets</v>
      </c>
    </row>
    <row r="27">
      <c r="A27" s="12" t="str">
        <f>HYPERLINK("https://drive.google.com/file/d/1VpvdP4eqAT6kMctc3cpN6R6E9uOvwEFM/view?usp=drivesdk","You Have To Burn The Rope Gauntlet.pdf")</f>
        <v>You Have To Burn The Rope Gauntlet.pdf</v>
      </c>
      <c r="B27" s="12" t="str">
        <f t="shared" si="1"/>
        <v>DriveAnon's 4chan Drive/2. EVERYONE ELSE'S JUMPS/5. Gauntlets</v>
      </c>
    </row>
    <row r="28">
      <c r="A28" s="12" t="str">
        <f>HYPERLINK("https://drive.google.com/file/d/1Yd2GEH8uDk5Cx-lz-4TEzRhcnNZz8YgD/view?usp=drivesdk","Speculative Evolution Gauntlet.pdf")</f>
        <v>Speculative Evolution Gauntlet.pdf</v>
      </c>
      <c r="B28" s="12" t="str">
        <f t="shared" si="1"/>
        <v>DriveAnon's 4chan Drive/2. EVERYONE ELSE'S JUMPS/5. Gauntlets</v>
      </c>
    </row>
    <row r="29">
      <c r="A29" s="12" t="str">
        <f>HYPERLINK("https://drive.google.com/file/d/1ZorlPZCarp4hSPA0BClwzBkBIUgreUUt/view?usp=drivesdk","Shivers Gauntlet.pdf")</f>
        <v>Shivers Gauntlet.pdf</v>
      </c>
      <c r="B29" s="12" t="str">
        <f t="shared" si="1"/>
        <v>DriveAnon's 4chan Drive/2. EVERYONE ELSE'S JUMPS/5. Gauntlets</v>
      </c>
    </row>
    <row r="30">
      <c r="A30" s="12" t="str">
        <f>HYPERLINK("https://drive.google.com/file/d/1_aUCR3XXugPD4M_l8bB486a-ifk9jwWV/view?usp=drivesdk","Robot Unicorn Attack Gauntlet.pdf")</f>
        <v>Robot Unicorn Attack Gauntlet.pdf</v>
      </c>
      <c r="B30" s="12" t="str">
        <f t="shared" si="1"/>
        <v>DriveAnon's 4chan Drive/2. EVERYONE ELSE'S JUMPS/5. Gauntlets</v>
      </c>
    </row>
    <row r="31">
      <c r="A31" s="12" t="str">
        <f>HYPERLINK("https://drive.google.com/file/d/1bs9orNZF8LYH0IrkYsOpyhDR9aA-6hBR/view?usp=drivesdk","Mad Max Gauntlet.pdf")</f>
        <v>Mad Max Gauntlet.pdf</v>
      </c>
      <c r="B31" s="12" t="str">
        <f t="shared" si="1"/>
        <v>DriveAnon's 4chan Drive/2. EVERYONE ELSE'S JUMPS/5. Gauntlets</v>
      </c>
    </row>
    <row r="32">
      <c r="A32" s="12" t="str">
        <f>HYPERLINK("https://drive.google.com/file/d/1eKmOOeeqVq5fnHIrBHPu-7tezqpvofgU/view?usp=drivesdk","Clustertruck Jump Gauntlet .pdf")</f>
        <v>Clustertruck Jump Gauntlet .pdf</v>
      </c>
      <c r="B32" s="12" t="str">
        <f t="shared" si="1"/>
        <v>DriveAnon's 4chan Drive/2. EVERYONE ELSE'S JUMPS/5. Gauntlets</v>
      </c>
    </row>
    <row r="33">
      <c r="A33" s="12" t="str">
        <f>HYPERLINK("https://drive.google.com/file/d/1f8fdD7tqdi4cpemiYyV5R5KpCtnYxh4Q/view?usp=drivesdk","Love is a Battlefield- A Knight_s Tale JumpChain.pdf")</f>
        <v>Love is a Battlefield- A Knight_s Tale JumpChain.pdf</v>
      </c>
      <c r="B33" s="12" t="str">
        <f t="shared" si="1"/>
        <v>DriveAnon's 4chan Drive/2. EVERYONE ELSE'S JUMPS/5. Gauntlets</v>
      </c>
    </row>
    <row r="34">
      <c r="A34" s="12" t="str">
        <f>HYPERLINK("https://drive.google.com/file/d/1feG71JllTvDivlagMlAjzQwvVE0I-1AM/view?usp=drivesdk","Dead rising Jumpchain.pdf")</f>
        <v>Dead rising Jumpchain.pdf</v>
      </c>
      <c r="B34" s="12" t="str">
        <f t="shared" si="1"/>
        <v>DriveAnon's 4chan Drive/2. EVERYONE ELSE'S JUMPS/5. Gauntlets</v>
      </c>
    </row>
    <row r="35">
      <c r="A35" s="12" t="str">
        <f>HYPERLINK("https://drive.google.com/file/d/1feGuF_cC0m4_cwHWBdsdYkrNZWP1XmnV/view?usp=drivesdk","Polytopia Gauntlet.pdf")</f>
        <v>Polytopia Gauntlet.pdf</v>
      </c>
      <c r="B35" s="12" t="str">
        <f t="shared" si="1"/>
        <v>DriveAnon's 4chan Drive/2. EVERYONE ELSE'S JUMPS/5. Gauntlets</v>
      </c>
    </row>
    <row r="36">
      <c r="A36" s="12" t="str">
        <f>HYPERLINK("https://drive.google.com/file/d/1hxHJpXxfJj9Uvjv2ZfLFuWL5RFEgGQzY/view?usp=drivesdk","Just A Casual Board Game Gauntlet.pdf")</f>
        <v>Just A Casual Board Game Gauntlet.pdf</v>
      </c>
      <c r="B36" s="12" t="str">
        <f t="shared" si="1"/>
        <v>DriveAnon's 4chan Drive/2. EVERYONE ELSE'S JUMPS/5. Gauntlets</v>
      </c>
    </row>
    <row r="37">
      <c r="A37" s="12" t="str">
        <f>HYPERLINK("https://drive.google.com/file/d/1iUFRXi_IArAHBZuSjSs31RoIjYaZFFBz/view?usp=drivesdk","10 Billion Wives Gauntlet.pdf")</f>
        <v>10 Billion Wives Gauntlet.pdf</v>
      </c>
      <c r="B37" s="12" t="str">
        <f t="shared" si="1"/>
        <v>DriveAnon's 4chan Drive/2. EVERYONE ELSE'S JUMPS/5. Gauntlets</v>
      </c>
    </row>
    <row r="38">
      <c r="A38" s="12" t="str">
        <f>HYPERLINK("https://drive.google.com/file/d/1iWaJt3MSZYLjlGFwq5Fz3IUtNhdnRUhg/view?usp=drivesdk","The Purge Gauntlet.pdf")</f>
        <v>The Purge Gauntlet.pdf</v>
      </c>
      <c r="B38" s="12" t="str">
        <f t="shared" si="1"/>
        <v>DriveAnon's 4chan Drive/2. EVERYONE ELSE'S JUMPS/5. Gauntlets</v>
      </c>
    </row>
    <row r="39">
      <c r="A39" s="12" t="str">
        <f>HYPERLINK("https://drive.google.com/file/d/1j5JpO-OiW7WiQmOBWSfsbNTqP9BQhHTe/view?usp=drivesdk","Generic Stick Fighters JumpChain.pdf")</f>
        <v>Generic Stick Fighters JumpChain.pdf</v>
      </c>
      <c r="B39" s="12" t="str">
        <f t="shared" si="1"/>
        <v>DriveAnon's 4chan Drive/2. EVERYONE ELSE'S JUMPS/5. Gauntlets</v>
      </c>
    </row>
    <row r="40">
      <c r="A40" s="12" t="str">
        <f>HYPERLINK("https://drive.google.com/file/d/1kBgqNBC4XlPKMzNRBw89Dab29SDnaURH/view?usp=drivesdk","Silent Hill (Cinematic) Gauntlet.pdf")</f>
        <v>Silent Hill (Cinematic) Gauntlet.pdf</v>
      </c>
      <c r="B40" s="12" t="str">
        <f t="shared" si="1"/>
        <v>DriveAnon's 4chan Drive/2. EVERYONE ELSE'S JUMPS/5. Gauntlets</v>
      </c>
    </row>
    <row r="41">
      <c r="A41" s="12" t="str">
        <f>HYPERLINK("https://drive.google.com/file/d/1lg7lHknVUYap7ceCdusAk3j-0V4VQDQQ/view?usp=drivesdk","Ghost Trick Gauntlet.pdf")</f>
        <v>Ghost Trick Gauntlet.pdf</v>
      </c>
      <c r="B41" s="12" t="str">
        <f t="shared" si="1"/>
        <v>DriveAnon's 4chan Drive/2. EVERYONE ELSE'S JUMPS/5. Gauntlets</v>
      </c>
    </row>
    <row r="42">
      <c r="A42" s="12" t="str">
        <f>HYPERLINK("https://drive.google.com/file/d/1mHPs_vgaCcADG6t3Lbx4G4yBA__strNd/view?usp=drivesdk","Celeste Gauntlet.pdf")</f>
        <v>Celeste Gauntlet.pdf</v>
      </c>
      <c r="B42" s="12" t="str">
        <f t="shared" si="1"/>
        <v>DriveAnon's 4chan Drive/2. EVERYONE ELSE'S JUMPS/5. Gauntlets</v>
      </c>
    </row>
    <row r="43">
      <c r="A43" s="12" t="str">
        <f>HYPERLINK("https://drive.google.com/file/d/1pLe8DXsR2UjjdxRaFyrkbfHBp8SToeAF/view?usp=drivesdk","Universal Paperclips Gauntlet.pdf")</f>
        <v>Universal Paperclips Gauntlet.pdf</v>
      </c>
      <c r="B43" s="12" t="str">
        <f t="shared" si="1"/>
        <v>DriveAnon's 4chan Drive/2. EVERYONE ELSE'S JUMPS/5. Gauntlets</v>
      </c>
    </row>
    <row r="44">
      <c r="A44" s="12" t="str">
        <f>HYPERLINK("https://drive.google.com/file/d/1sJXOz3lYaL2SayeAPRVqJ3L2UD0x__xd/view?usp=drivesdk","Hatred Gauntlet.pdf")</f>
        <v>Hatred Gauntlet.pdf</v>
      </c>
      <c r="B44" s="12" t="str">
        <f t="shared" si="1"/>
        <v>DriveAnon's 4chan Drive/2. EVERYONE ELSE'S JUMPS/5. Gauntlets</v>
      </c>
    </row>
    <row r="45">
      <c r="A45" s="12" t="str">
        <f>HYPERLINK("https://drive.google.com/file/d/1uvnEriJIYUOPYZW_tee4ehpz7ULVfCZN/view?usp=drivesdk","Big Brother JumpChain.pdf")</f>
        <v>Big Brother JumpChain.pdf</v>
      </c>
      <c r="B45" s="12" t="str">
        <f t="shared" si="1"/>
        <v>DriveAnon's 4chan Drive/2. EVERYONE ELSE'S JUMPS/5. Gauntlets</v>
      </c>
    </row>
    <row r="46">
      <c r="A46" s="12" t="str">
        <f>HYPERLINK("https://drive.google.com/file/d/1vMuCDPxyrKvf21TTmQoQXlXJCkjFsSrE/view?usp=drivesdk","Oxygen Not Included Gauntlet.pdf")</f>
        <v>Oxygen Not Included Gauntlet.pdf</v>
      </c>
      <c r="B46" s="12" t="str">
        <f t="shared" si="1"/>
        <v>DriveAnon's 4chan Drive/2. EVERYONE ELSE'S JUMPS/5. Gauntlets</v>
      </c>
    </row>
    <row r="47">
      <c r="A47" s="12" t="str">
        <f>HYPERLINK("https://drive.google.com/file/d/1vNAG93KKcaQSmC6Id1UKvF6K9_ipnlCC/view?usp=drivesdk","Umineko - The Rokkenjima Murders Gauntlet.pdf")</f>
        <v>Umineko - The Rokkenjima Murders Gauntlet.pdf</v>
      </c>
      <c r="B47" s="12" t="str">
        <f t="shared" si="1"/>
        <v>DriveAnon's 4chan Drive/2. EVERYONE ELSE'S JUMPS/5. Gauntlets</v>
      </c>
    </row>
    <row r="48">
      <c r="A48" s="12" t="str">
        <f>HYPERLINK("https://drive.google.com/file/d/1v_3UXLPgZWm8zj5PKKSp0klNB-ElZUgs/view?usp=drivesdk","Doki Doki Literature Club  (Gauntlet).pdf")</f>
        <v>Doki Doki Literature Club  (Gauntlet).pdf</v>
      </c>
      <c r="B48" s="12" t="str">
        <f t="shared" si="1"/>
        <v>DriveAnon's 4chan Drive/2. EVERYONE ELSE'S JUMPS/5. Gauntlets</v>
      </c>
    </row>
    <row r="49">
      <c r="A49" s="12" t="str">
        <f>HYPERLINK("https://drive.google.com/file/d/1znzCxdU8r3LhI4r9Iaf_64ytYcS3HIUQ/view?usp=drivesdk","Distant Sky Gauntlet.pdf")</f>
        <v>Distant Sky Gauntlet.pdf</v>
      </c>
      <c r="B49" s="12" t="str">
        <f t="shared" si="1"/>
        <v>DriveAnon's 4chan Drive/2. EVERYONE ELSE'S JUMPS/5. Gauntlets</v>
      </c>
    </row>
    <row r="50">
      <c r="A50" s="12" t="str">
        <f>HYPERLINK("https://drive.google.com/file/d/1bm0CKkce9JUWXSfTV0D2UZtILUMETZ6L/view?usp=drivesdk","Among Us.pdf")</f>
        <v>Among Us.pdf</v>
      </c>
      <c r="B50" s="12" t="str">
        <f t="shared" si="1"/>
        <v>DriveAnon's 4chan Drive/2. EVERYONE ELSE'S JUMPS/5. Gauntlets</v>
      </c>
    </row>
    <row r="51">
      <c r="A51" s="12" t="str">
        <f>HYPERLINK("https://drive.google.com/file/d/1ZjGdlaNKqmXwFv8wscaa68w88mMIRDkf/view?usp=drivesdk","Dark Deception.pdf")</f>
        <v>Dark Deception.pdf</v>
      </c>
      <c r="B51" s="12" t="str">
        <f>HYPERLINK("https://drive.google.com/drive/folders/1Zd5TJah6e0Tbwhh2dtEtvGiOjZ3pFnAN","Reddit Jumpchain Drive/Completed/Named Folders of Reddit/Dark Deception Gauntlet Jumpchain")</f>
        <v>Reddit Jumpchain Drive/Completed/Named Folders of Reddit/Dark Deception Gauntlet Jumpchain</v>
      </c>
    </row>
    <row r="52">
      <c r="A52" s="12" t="str">
        <f>HYPERLINK("https://drive.google.com/file/d/12-K2VNeMM9xqEc69oTATcKRZFE7pIzEB/view?usp=drivesdk","11 - 5ZYuypR.png")</f>
        <v>11 - 5ZYuypR.png</v>
      </c>
      <c r="B52" s="12" t="str">
        <f t="shared" ref="B52:B75" si="2">HYPERLINK("https://drive.google.com/drive/folders/1H1KbM9pe-mTmsq4BQ3SIyyB69d3gT2zD","Reddit Jumpchain Drive/Completed/Named Folders of Reddit/Dark Deception Gauntlet Jumpchain/Dark Deception Imgur")</f>
        <v>Reddit Jumpchain Drive/Completed/Named Folders of Reddit/Dark Deception Gauntlet Jumpchain/Dark Deception Imgur</v>
      </c>
    </row>
    <row r="53">
      <c r="A53" s="12" t="str">
        <f>HYPERLINK("https://drive.google.com/file/d/12DzCQE5WR9HAgKwlY9IgRHP8_SnCDVyu/view?usp=drivesdk","4 - 5TQQSGl.png")</f>
        <v>4 - 5TQQSGl.png</v>
      </c>
      <c r="B53" s="12" t="str">
        <f t="shared" si="2"/>
        <v>Reddit Jumpchain Drive/Completed/Named Folders of Reddit/Dark Deception Gauntlet Jumpchain/Dark Deception Imgur</v>
      </c>
    </row>
    <row r="54">
      <c r="A54" s="12" t="str">
        <f>HYPERLINK("https://drive.google.com/file/d/14SQy-Wp0QkFH6QY8CdHJxqVVpjhJk1rF/view?usp=drivesdk","6 - DwIC6iw.png")</f>
        <v>6 - DwIC6iw.png</v>
      </c>
      <c r="B54" s="12" t="str">
        <f t="shared" si="2"/>
        <v>Reddit Jumpchain Drive/Completed/Named Folders of Reddit/Dark Deception Gauntlet Jumpchain/Dark Deception Imgur</v>
      </c>
    </row>
    <row r="55">
      <c r="A55" s="12" t="str">
        <f>HYPERLINK("https://drive.google.com/file/d/14sql_7va8lV7o8Jgk7ChU2nepaCPAjyH/view?usp=drivesdk","24 - A7kOSHh.png")</f>
        <v>24 - A7kOSHh.png</v>
      </c>
      <c r="B55" s="12" t="str">
        <f t="shared" si="2"/>
        <v>Reddit Jumpchain Drive/Completed/Named Folders of Reddit/Dark Deception Gauntlet Jumpchain/Dark Deception Imgur</v>
      </c>
    </row>
    <row r="56">
      <c r="A56" s="12" t="str">
        <f>HYPERLINK("https://drive.google.com/file/d/1HgHEsifnQrSpyvsn8kXgq7Gi34ypvp6_/view?usp=drivesdk","1 - h5meagk.png")</f>
        <v>1 - h5meagk.png</v>
      </c>
      <c r="B56" s="12" t="str">
        <f t="shared" si="2"/>
        <v>Reddit Jumpchain Drive/Completed/Named Folders of Reddit/Dark Deception Gauntlet Jumpchain/Dark Deception Imgur</v>
      </c>
    </row>
    <row r="57">
      <c r="A57" s="12" t="str">
        <f>HYPERLINK("https://drive.google.com/file/d/1IJKjchDbWveEoWhrkipNAv5d5zuh2lLe/view?usp=drivesdk","12 - dUy9UJY.png")</f>
        <v>12 - dUy9UJY.png</v>
      </c>
      <c r="B57" s="12" t="str">
        <f t="shared" si="2"/>
        <v>Reddit Jumpchain Drive/Completed/Named Folders of Reddit/Dark Deception Gauntlet Jumpchain/Dark Deception Imgur</v>
      </c>
    </row>
    <row r="58">
      <c r="A58" s="12" t="str">
        <f>HYPERLINK("https://drive.google.com/file/d/1IRmxiVobjs9uFaVwYacBZ3acKiai17QK/view?usp=drivesdk","9 - adL6rnw.png")</f>
        <v>9 - adL6rnw.png</v>
      </c>
      <c r="B58" s="12" t="str">
        <f t="shared" si="2"/>
        <v>Reddit Jumpchain Drive/Completed/Named Folders of Reddit/Dark Deception Gauntlet Jumpchain/Dark Deception Imgur</v>
      </c>
    </row>
    <row r="59">
      <c r="A59" s="12" t="str">
        <f>HYPERLINK("https://drive.google.com/file/d/1J09iB7YoqSRjlmW2BKcTBhZonySZ7a1n/view?usp=drivesdk","3 - BUxglvr.png")</f>
        <v>3 - BUxglvr.png</v>
      </c>
      <c r="B59" s="12" t="str">
        <f t="shared" si="2"/>
        <v>Reddit Jumpchain Drive/Completed/Named Folders of Reddit/Dark Deception Gauntlet Jumpchain/Dark Deception Imgur</v>
      </c>
    </row>
    <row r="60">
      <c r="A60" s="12" t="str">
        <f>HYPERLINK("https://drive.google.com/file/d/1K6O2FyW8hjEfJ2hOTSfeKJQMTFY3cZ0O/view?usp=drivesdk","17 - 3rkICQF.png")</f>
        <v>17 - 3rkICQF.png</v>
      </c>
      <c r="B60" s="12" t="str">
        <f t="shared" si="2"/>
        <v>Reddit Jumpchain Drive/Completed/Named Folders of Reddit/Dark Deception Gauntlet Jumpchain/Dark Deception Imgur</v>
      </c>
    </row>
    <row r="61">
      <c r="A61" s="12" t="str">
        <f>HYPERLINK("https://drive.google.com/file/d/1NiWpfQOoD1pW1u2E1pBP0hkwEk-WT4cC/view?usp=drivesdk","18 - oFs0zDx.png")</f>
        <v>18 - oFs0zDx.png</v>
      </c>
      <c r="B61" s="12" t="str">
        <f t="shared" si="2"/>
        <v>Reddit Jumpchain Drive/Completed/Named Folders of Reddit/Dark Deception Gauntlet Jumpchain/Dark Deception Imgur</v>
      </c>
    </row>
    <row r="62">
      <c r="A62" s="12" t="str">
        <f>HYPERLINK("https://drive.google.com/file/d/1Oun1uqH1JOmEKK1nHY0hDgOTcNjeT5p9/view?usp=drivesdk","5 - vfRSILn.png")</f>
        <v>5 - vfRSILn.png</v>
      </c>
      <c r="B62" s="12" t="str">
        <f t="shared" si="2"/>
        <v>Reddit Jumpchain Drive/Completed/Named Folders of Reddit/Dark Deception Gauntlet Jumpchain/Dark Deception Imgur</v>
      </c>
    </row>
    <row r="63">
      <c r="A63" s="12" t="str">
        <f>HYPERLINK("https://drive.google.com/file/d/1SBo1alVJODBnaQ-tVnJNx1rZ-AxXWWZ1/view?usp=drivesdk","22 - 7qcecyG.png")</f>
        <v>22 - 7qcecyG.png</v>
      </c>
      <c r="B63" s="12" t="str">
        <f t="shared" si="2"/>
        <v>Reddit Jumpchain Drive/Completed/Named Folders of Reddit/Dark Deception Gauntlet Jumpchain/Dark Deception Imgur</v>
      </c>
    </row>
    <row r="64">
      <c r="A64" s="12" t="str">
        <f>HYPERLINK("https://drive.google.com/file/d/1T5JWVLNSNu8HUdJ2Itwoytb2FenZGIW-/view?usp=drivesdk","21 - NggmJkH.png")</f>
        <v>21 - NggmJkH.png</v>
      </c>
      <c r="B64" s="12" t="str">
        <f t="shared" si="2"/>
        <v>Reddit Jumpchain Drive/Completed/Named Folders of Reddit/Dark Deception Gauntlet Jumpchain/Dark Deception Imgur</v>
      </c>
    </row>
    <row r="65">
      <c r="A65" s="12" t="str">
        <f>HYPERLINK("https://drive.google.com/file/d/1dK1BNpSv51FIPiJ110lFBEKQCMbRBalI/view?usp=drivesdk","16 - ccW1l6u.png")</f>
        <v>16 - ccW1l6u.png</v>
      </c>
      <c r="B65" s="12" t="str">
        <f t="shared" si="2"/>
        <v>Reddit Jumpchain Drive/Completed/Named Folders of Reddit/Dark Deception Gauntlet Jumpchain/Dark Deception Imgur</v>
      </c>
    </row>
    <row r="66">
      <c r="A66" s="12" t="str">
        <f>HYPERLINK("https://drive.google.com/file/d/1feMVIcglpviVWu_KTWE2AQaC6Lge6vdJ/view?usp=drivesdk","20 - X6djElr.png")</f>
        <v>20 - X6djElr.png</v>
      </c>
      <c r="B66" s="12" t="str">
        <f t="shared" si="2"/>
        <v>Reddit Jumpchain Drive/Completed/Named Folders of Reddit/Dark Deception Gauntlet Jumpchain/Dark Deception Imgur</v>
      </c>
    </row>
    <row r="67">
      <c r="A67" s="12" t="str">
        <f>HYPERLINK("https://drive.google.com/file/d/1hmbreObjDwBOIDQQ03DLJKhnMID6vfWz/view?usp=drivesdk","14 - FM7Rgit.png")</f>
        <v>14 - FM7Rgit.png</v>
      </c>
      <c r="B67" s="12" t="str">
        <f t="shared" si="2"/>
        <v>Reddit Jumpchain Drive/Completed/Named Folders of Reddit/Dark Deception Gauntlet Jumpchain/Dark Deception Imgur</v>
      </c>
    </row>
    <row r="68">
      <c r="A68" s="12" t="str">
        <f>HYPERLINK("https://drive.google.com/file/d/1ib_WSIm5jX-OHYm4rewK4LBULUx5oTCB/view?usp=drivesdk","7 - HNd918a.png")</f>
        <v>7 - HNd918a.png</v>
      </c>
      <c r="B68" s="12" t="str">
        <f t="shared" si="2"/>
        <v>Reddit Jumpchain Drive/Completed/Named Folders of Reddit/Dark Deception Gauntlet Jumpchain/Dark Deception Imgur</v>
      </c>
    </row>
    <row r="69">
      <c r="A69" s="12" t="str">
        <f>HYPERLINK("https://drive.google.com/file/d/1kdrV3cC0VIQzEIOxvms40SsyRI3RoplU/view?usp=drivesdk","13 - yjYljY5.png")</f>
        <v>13 - yjYljY5.png</v>
      </c>
      <c r="B69" s="12" t="str">
        <f t="shared" si="2"/>
        <v>Reddit Jumpchain Drive/Completed/Named Folders of Reddit/Dark Deception Gauntlet Jumpchain/Dark Deception Imgur</v>
      </c>
    </row>
    <row r="70">
      <c r="A70" s="12" t="str">
        <f>HYPERLINK("https://drive.google.com/file/d/1lFQsIu-MUjGA1W0-1Nj2phL-Yju2hprL/view?usp=drivesdk","10 - 0Pf8t0j.png")</f>
        <v>10 - 0Pf8t0j.png</v>
      </c>
      <c r="B70" s="12" t="str">
        <f t="shared" si="2"/>
        <v>Reddit Jumpchain Drive/Completed/Named Folders of Reddit/Dark Deception Gauntlet Jumpchain/Dark Deception Imgur</v>
      </c>
    </row>
    <row r="71">
      <c r="A71" s="12" t="str">
        <f>HYPERLINK("https://drive.google.com/file/d/1lf57abtE8QLbo5LtkoL761UXXNUjCJX0/view?usp=drivesdk","23 - QW0xATl.png")</f>
        <v>23 - QW0xATl.png</v>
      </c>
      <c r="B71" s="12" t="str">
        <f t="shared" si="2"/>
        <v>Reddit Jumpchain Drive/Completed/Named Folders of Reddit/Dark Deception Gauntlet Jumpchain/Dark Deception Imgur</v>
      </c>
    </row>
    <row r="72">
      <c r="A72" s="12" t="str">
        <f>HYPERLINK("https://drive.google.com/file/d/1oBWVhuuJ3fm6A352HWVjIX3wPKx4_Uy7/view?usp=drivesdk","2 - ww9T6Tf.png")</f>
        <v>2 - ww9T6Tf.png</v>
      </c>
      <c r="B72" s="12" t="str">
        <f t="shared" si="2"/>
        <v>Reddit Jumpchain Drive/Completed/Named Folders of Reddit/Dark Deception Gauntlet Jumpchain/Dark Deception Imgur</v>
      </c>
    </row>
    <row r="73">
      <c r="A73" s="12" t="str">
        <f>HYPERLINK("https://drive.google.com/file/d/1oN4xvNc9L0SWQzQrGNDBoz-DEY2m9TU4/view?usp=drivesdk","8 - MfdH9Pp.png")</f>
        <v>8 - MfdH9Pp.png</v>
      </c>
      <c r="B73" s="12" t="str">
        <f t="shared" si="2"/>
        <v>Reddit Jumpchain Drive/Completed/Named Folders of Reddit/Dark Deception Gauntlet Jumpchain/Dark Deception Imgur</v>
      </c>
    </row>
    <row r="74">
      <c r="A74" s="12" t="str">
        <f>HYPERLINK("https://drive.google.com/file/d/1u30vba5rGfyujVILgXr9h3MqTM7ocaQ1/view?usp=drivesdk","15 - E54ivxP.png")</f>
        <v>15 - E54ivxP.png</v>
      </c>
      <c r="B74" s="12" t="str">
        <f t="shared" si="2"/>
        <v>Reddit Jumpchain Drive/Completed/Named Folders of Reddit/Dark Deception Gauntlet Jumpchain/Dark Deception Imgur</v>
      </c>
    </row>
    <row r="75">
      <c r="A75" s="12" t="str">
        <f>HYPERLINK("https://drive.google.com/file/d/1yyaCQi1drqVVPoPo3pT63CQZlzx7Ny6t/view?usp=drivesdk","19 - Tj1Xwns.png")</f>
        <v>19 - Tj1Xwns.png</v>
      </c>
      <c r="B75" s="12" t="str">
        <f t="shared" si="2"/>
        <v>Reddit Jumpchain Drive/Completed/Named Folders of Reddit/Dark Deception Gauntlet Jumpchain/Dark Deception Imgur</v>
      </c>
    </row>
    <row r="76">
      <c r="A76" s="12" t="str">
        <f>HYPERLINK("https://drive.google.com/file/d/1u0hTd9f0n6IiDDJGbTXjSes1W3D53UDN/view?usp=drivesdk","Gauntlet Plague Inc The Cure.pdf")</f>
        <v>Gauntlet Plague Inc The Cure.pdf</v>
      </c>
      <c r="B76" s="12" t="str">
        <f t="shared" ref="B76:B136" si="3">HYPERLINK("https://drive.google.com/drive/folders/1UER_HE6K84PGFXnjmBj68g-EJ6mEbeS_","Reddit Jumpchain Drive/Completed/Gauntlet")</f>
        <v>Reddit Jumpchain Drive/Completed/Gauntlet</v>
      </c>
    </row>
    <row r="77">
      <c r="A77" s="12" t="str">
        <f>HYPERLINK("https://drive.google.com/file/d/1C0fAnOm-AKsRBGsyC7URpFJishL-Kqdj/view?usp=drivesdk","Clue The Movie Gauntlet v1.pdf")</f>
        <v>Clue The Movie Gauntlet v1.pdf</v>
      </c>
      <c r="B77" s="12" t="str">
        <f t="shared" si="3"/>
        <v>Reddit Jumpchain Drive/Completed/Gauntlet</v>
      </c>
    </row>
    <row r="78">
      <c r="A78" s="12" t="str">
        <f>HYPERLINK("https://drive.google.com/file/d/1rkQeSMFH1fgJs28WgSDGIke0n70iHGwd/view?usp=drivesdk","Gauntlet Circle.pdf")</f>
        <v>Gauntlet Circle.pdf</v>
      </c>
      <c r="B78" s="12" t="str">
        <f t="shared" si="3"/>
        <v>Reddit Jumpchain Drive/Completed/Gauntlet</v>
      </c>
    </row>
    <row r="79">
      <c r="A79" s="12" t="str">
        <f>HYPERLINK("https://drive.google.com/file/d/1nhWsCWKyU-eehmGcTEDcjSjKDreSyCeR/view?usp=drivesdk","Furi Gauntlet.pdf")</f>
        <v>Furi Gauntlet.pdf</v>
      </c>
      <c r="B79" s="12" t="str">
        <f t="shared" si="3"/>
        <v>Reddit Jumpchain Drive/Completed/Gauntlet</v>
      </c>
    </row>
    <row r="80">
      <c r="A80" s="12" t="str">
        <f>HYPERLINK("https://drive.google.com/file/d/1GEhOZu6eNPZ6dFhUH_n6W8rZfMPsZCjj/view?usp=drivesdk","Dragon Ball FighterZ Jumpchain.pdf")</f>
        <v>Dragon Ball FighterZ Jumpchain.pdf</v>
      </c>
      <c r="B80" s="12" t="str">
        <f t="shared" si="3"/>
        <v>Reddit Jumpchain Drive/Completed/Gauntlet</v>
      </c>
    </row>
    <row r="81">
      <c r="A81" s="12" t="str">
        <f>HYPERLINK("https://drive.google.com/file/d/1A6TGHhNxHA4zPmdbLGLGDssn49WuNGFq/view?usp=drivesdk","RoR Gauntlet Humans.pdf")</f>
        <v>RoR Gauntlet Humans.pdf</v>
      </c>
      <c r="B81" s="12" t="str">
        <f t="shared" si="3"/>
        <v>Reddit Jumpchain Drive/Completed/Gauntlet</v>
      </c>
    </row>
    <row r="82">
      <c r="A82" s="12" t="str">
        <f>HYPERLINK("https://drive.google.com/file/d/1gSSSzkZUO_INjITbbufCzHL5XB21ZoQ7/view?usp=drivesdk","DARK SOULS GAUNTLET.pdf")</f>
        <v>DARK SOULS GAUNTLET.pdf</v>
      </c>
      <c r="B82" s="12" t="str">
        <f t="shared" si="3"/>
        <v>Reddit Jumpchain Drive/Completed/Gauntlet</v>
      </c>
    </row>
    <row r="83">
      <c r="A83" s="12" t="str">
        <f>HYPERLINK("https://drive.google.com/file/d/11_eIYtNnE-fiR4rh83ljdCbR1LvrWYT0/view?usp=drivesdk","The Troop Gauntlet")</f>
        <v>The Troop Gauntlet</v>
      </c>
      <c r="B83" s="12" t="str">
        <f t="shared" si="3"/>
        <v>Reddit Jumpchain Drive/Completed/Gauntlet</v>
      </c>
    </row>
    <row r="84">
      <c r="A84" s="12" t="str">
        <f>HYPERLINK("https://drive.google.com/file/d/1Rq79GVgtLOKryq9rNm3LAkiYyrJTlCvn/view?usp=drivesdk","Be More Chill Jumpchain Gauntlet v1.0.pdf")</f>
        <v>Be More Chill Jumpchain Gauntlet v1.0.pdf</v>
      </c>
      <c r="B84" s="12" t="str">
        <f t="shared" si="3"/>
        <v>Reddit Jumpchain Drive/Completed/Gauntlet</v>
      </c>
    </row>
    <row r="85">
      <c r="A85" s="12" t="str">
        <f>HYPERLINK("https://drive.google.com/file/d/1K5WJLgulewAPoUIPMINDGkkg7kA_UMEc/view?usp=drivesdk","SCP_ContainmentBreach.pdf")</f>
        <v>SCP_ContainmentBreach.pdf</v>
      </c>
      <c r="B85" s="12" t="str">
        <f t="shared" si="3"/>
        <v>Reddit Jumpchain Drive/Completed/Gauntlet</v>
      </c>
    </row>
    <row r="86">
      <c r="A86" s="12" t="str">
        <f>HYPERLINK("https://drive.google.com/file/d/1BVX1C4UUdtKTe5RaOeOgiq2TtK1qRgwh/view?usp=drivesdk","Star Wars Republic Commando Gauntlet.pdf")</f>
        <v>Star Wars Republic Commando Gauntlet.pdf</v>
      </c>
      <c r="B86" s="12" t="str">
        <f t="shared" si="3"/>
        <v>Reddit Jumpchain Drive/Completed/Gauntlet</v>
      </c>
    </row>
    <row r="87">
      <c r="A87" s="12" t="str">
        <f>HYPERLINK("https://drive.google.com/file/d/1VLJpZsNMbsLJENOmVCIFUMzeMBdWC6ff/view?usp=drivesdk","FNAF  Security Breach Gauntlet.pdf")</f>
        <v>FNAF  Security Breach Gauntlet.pdf</v>
      </c>
      <c r="B87" s="12" t="str">
        <f t="shared" si="3"/>
        <v>Reddit Jumpchain Drive/Completed/Gauntlet</v>
      </c>
    </row>
    <row r="88">
      <c r="A88" s="12" t="str">
        <f>HYPERLINK("https://drive.google.com/file/d/1lAf_m7qBYAi9uzSocYf_20ZqYJyEiNuX/view?usp=drivesdk","Graveyard Keeper Gauntlet By Quietlovingman.pdf")</f>
        <v>Graveyard Keeper Gauntlet By Quietlovingman.pdf</v>
      </c>
      <c r="B88" s="12" t="str">
        <f t="shared" si="3"/>
        <v>Reddit Jumpchain Drive/Completed/Gauntlet</v>
      </c>
    </row>
    <row r="89">
      <c r="A89" s="12" t="str">
        <f>HYPERLINK("https://drive.google.com/file/d/1mFy6WYDWcKfHcvKZ6n46dZcoLJPbpWKu/view?usp=drivesdk","The long dark gauntlet 1.2 (PERILOUS CONSTRAINT UPDATE).pdf")</f>
        <v>The long dark gauntlet 1.2 (PERILOUS CONSTRAINT UPDATE).pdf</v>
      </c>
      <c r="B89" s="12" t="str">
        <f t="shared" si="3"/>
        <v>Reddit Jumpchain Drive/Completed/Gauntlet</v>
      </c>
    </row>
    <row r="90">
      <c r="A90" s="12" t="str">
        <f>HYPERLINK("https://drive.google.com/file/d/1es4U6RaDP6Me7oYiJle8NeAKmlurxEjV/view?usp=drivesdk","Copy of Zombie Estate 2 Gauntlet V1.0.pdf")</f>
        <v>Copy of Zombie Estate 2 Gauntlet V1.0.pdf</v>
      </c>
      <c r="B90" s="12" t="str">
        <f t="shared" si="3"/>
        <v>Reddit Jumpchain Drive/Completed/Gauntlet</v>
      </c>
    </row>
    <row r="91">
      <c r="A91" s="12" t="str">
        <f>HYPERLINK("https://drive.google.com/file/d/1XxbjZNCAdem-uUJG5kDjllUs-eFsNNvp/view?usp=drivesdk","Soul Graft Battle Royale JumpChain Edition.pdf")</f>
        <v>Soul Graft Battle Royale JumpChain Edition.pdf</v>
      </c>
      <c r="B91" s="12" t="str">
        <f t="shared" si="3"/>
        <v>Reddit Jumpchain Drive/Completed/Gauntlet</v>
      </c>
    </row>
    <row r="92">
      <c r="A92" s="12" t="str">
        <f>HYPERLINK("https://drive.google.com/file/d/1LEGo-YvA2GeCuQ3e96Nw2TqaKdx0ZRwo/view?usp=drivesdk","The long dark gauntlet (Challenge and scenario update).pdf")</f>
        <v>The long dark gauntlet (Challenge and scenario update).pdf</v>
      </c>
      <c r="B92" s="12" t="str">
        <f t="shared" si="3"/>
        <v>Reddit Jumpchain Drive/Completed/Gauntlet</v>
      </c>
    </row>
    <row r="93">
      <c r="A93" s="12" t="str">
        <f>HYPERLINK("https://docs.google.com/document/d/1ZskIjq9VbaXR15ea0unjKEkX8Ak1Xq42-bSCR1bwRq4/edit?usp=drivesdk","Until Dawn Gauntlet Version 1.docx")</f>
        <v>Until Dawn Gauntlet Version 1.docx</v>
      </c>
      <c r="B93" s="12" t="str">
        <f t="shared" si="3"/>
        <v>Reddit Jumpchain Drive/Completed/Gauntlet</v>
      </c>
    </row>
    <row r="94">
      <c r="A94" s="12" t="str">
        <f>HYPERLINK("https://drive.google.com/file/d/1G-4BEHRD17urQbEOw_plWD-X8YDQqoTN/view?usp=drivesdk","Until Dawn Gauntlet Version 1.docx.pdf")</f>
        <v>Until Dawn Gauntlet Version 1.docx.pdf</v>
      </c>
      <c r="B94" s="12" t="str">
        <f t="shared" si="3"/>
        <v>Reddit Jumpchain Drive/Completed/Gauntlet</v>
      </c>
    </row>
    <row r="95">
      <c r="A95" s="12" t="str">
        <f>HYPERLINK("https://docs.google.com/document/d/1EUq1Zr2hGkKExkXgOt5EsY50U4QFMwcrRezUJlOw8x0/edit?usp=drivesdk","Imperial Guard Regiment Gauntlet 1.0")</f>
        <v>Imperial Guard Regiment Gauntlet 1.0</v>
      </c>
      <c r="B95" s="12" t="str">
        <f t="shared" si="3"/>
        <v>Reddit Jumpchain Drive/Completed/Gauntlet</v>
      </c>
    </row>
    <row r="96">
      <c r="A96" s="12" t="str">
        <f>HYPERLINK("https://docs.google.com/document/d/14Ef9xM70nBTmsMaOzHetoJEE2wqF61elN39O6jYH2cc/edit?usp=drivesdk","Sweet Home Gauntlet JumpChain")</f>
        <v>Sweet Home Gauntlet JumpChain</v>
      </c>
      <c r="B96" s="12" t="str">
        <f t="shared" si="3"/>
        <v>Reddit Jumpchain Drive/Completed/Gauntlet</v>
      </c>
    </row>
    <row r="97">
      <c r="A97" s="12" t="str">
        <f>HYPERLINK("https://docs.google.com/document/d/1CxmegHPzTE3lOydWJIDPENaIbQXurWC1UYQPYUh1zHw/edit?usp=drivesdk","Hunt_ Showdown (Gauntlet) (1) (3)")</f>
        <v>Hunt_ Showdown (Gauntlet) (1) (3)</v>
      </c>
      <c r="B97" s="12" t="str">
        <f t="shared" si="3"/>
        <v>Reddit Jumpchain Drive/Completed/Gauntlet</v>
      </c>
    </row>
    <row r="98">
      <c r="A98" s="12" t="str">
        <f>HYPERLINK("https://docs.google.com/document/d/1zhU51wIiFTJ4q4MsvbRl9N4F1OhfHL7a3SenEo8D5s4/edit?usp=drivesdk","DUSK Gauntlet")</f>
        <v>DUSK Gauntlet</v>
      </c>
      <c r="B98" s="12" t="str">
        <f t="shared" si="3"/>
        <v>Reddit Jumpchain Drive/Completed/Gauntlet</v>
      </c>
    </row>
    <row r="99">
      <c r="A99" s="12" t="str">
        <f>HYPERLINK("https://drive.google.com/file/d/1Z9ecdnkiEqDtLZKfHJ1Da1OoC2zyrrIQ/view?usp=drivesdk","Binding of Isaac Gauntlet supplement")</f>
        <v>Binding of Isaac Gauntlet supplement</v>
      </c>
      <c r="B99" s="12" t="str">
        <f t="shared" si="3"/>
        <v>Reddit Jumpchain Drive/Completed/Gauntlet</v>
      </c>
    </row>
    <row r="100">
      <c r="A100" s="12" t="str">
        <f>HYPERLINK("https://drive.google.com/file/d/1rI4IjSvm1UOXQBNAQNutsqY1MLFSwGv5/view?usp=drivesdk","Outer Wilds Gauntlet_ Echoes of the Eye.pdf")</f>
        <v>Outer Wilds Gauntlet_ Echoes of the Eye.pdf</v>
      </c>
      <c r="B100" s="12" t="str">
        <f t="shared" si="3"/>
        <v>Reddit Jumpchain Drive/Completed/Gauntlet</v>
      </c>
    </row>
    <row r="101">
      <c r="A101" s="12" t="str">
        <f>HYPERLINK("https://drive.google.com/file/d/10Yjba_GN0KSCF6wl738TZfNva7Lgbd1x/view?usp=drivesdk","Deathloop Gauntlet Jump Ver. 0.9.pdf")</f>
        <v>Deathloop Gauntlet Jump Ver. 0.9.pdf</v>
      </c>
      <c r="B101" s="12" t="str">
        <f t="shared" si="3"/>
        <v>Reddit Jumpchain Drive/Completed/Gauntlet</v>
      </c>
    </row>
    <row r="102">
      <c r="A102" s="12" t="str">
        <f>HYPERLINK("https://drive.google.com/file/d/1uQ4UjeLSohP6-g-zzKt4t4qMPCWxZcXO/view?usp=drivesdk","Superliminal Gauntlet V1.0.pdf")</f>
        <v>Superliminal Gauntlet V1.0.pdf</v>
      </c>
      <c r="B102" s="12" t="str">
        <f t="shared" si="3"/>
        <v>Reddit Jumpchain Drive/Completed/Gauntlet</v>
      </c>
    </row>
    <row r="103">
      <c r="A103" s="12" t="str">
        <f>HYPERLINK("https://drive.google.com/file/d/1vaa7DRh3mVv2Dc9pTjqqH8GJ4mU2FOlY/view?usp=drivesdk","The long dark gauntlet.pdf")</f>
        <v>The long dark gauntlet.pdf</v>
      </c>
      <c r="B103" s="12" t="str">
        <f t="shared" si="3"/>
        <v>Reddit Jumpchain Drive/Completed/Gauntlet</v>
      </c>
    </row>
    <row r="104">
      <c r="A104" s="12" t="str">
        <f>HYPERLINK("https://drive.google.com/file/d/1LRf566q0dCH0pO78AgRiMO8gU5EqNS1b/view?usp=drivesdk","Zombie Estate 2 Gauntlet V1.0.pdf")</f>
        <v>Zombie Estate 2 Gauntlet V1.0.pdf</v>
      </c>
      <c r="B104" s="12" t="str">
        <f t="shared" si="3"/>
        <v>Reddit Jumpchain Drive/Completed/Gauntlet</v>
      </c>
    </row>
    <row r="105">
      <c r="A105" s="12" t="str">
        <f>HYPERLINK("https://drive.google.com/file/d/1ZR7EYeuImUkt8jD9fPko-RB42f_HitsQ/view?usp=drivesdk","Oregon Trail v1.1.pdf")</f>
        <v>Oregon Trail v1.1.pdf</v>
      </c>
      <c r="B105" s="12" t="str">
        <f t="shared" si="3"/>
        <v>Reddit Jumpchain Drive/Completed/Gauntlet</v>
      </c>
    </row>
    <row r="106">
      <c r="A106" s="12" t="str">
        <f>HYPERLINK("https://drive.google.com/file/d/1wm4Hi2tnd4zLSu6pea3LxPuHe5EWgGa7/view?usp=drivesdk","Sweet Home Gauntlet JumpChain.pdf")</f>
        <v>Sweet Home Gauntlet JumpChain.pdf</v>
      </c>
      <c r="B106" s="12" t="str">
        <f t="shared" si="3"/>
        <v>Reddit Jumpchain Drive/Completed/Gauntlet</v>
      </c>
    </row>
    <row r="107">
      <c r="A107" s="12" t="str">
        <f>HYPERLINK("https://drive.google.com/file/d/19KxuIY15t851W2gVNPsudZT-e6fxGpu9/view?usp=drivesdk","OneShot Gauntlet.pdf")</f>
        <v>OneShot Gauntlet.pdf</v>
      </c>
      <c r="B107" s="12" t="str">
        <f t="shared" si="3"/>
        <v>Reddit Jumpchain Drive/Completed/Gauntlet</v>
      </c>
    </row>
    <row r="108">
      <c r="A108" s="12" t="str">
        <f>HYPERLINK("https://drive.google.com/file/d/1HFGiGw8Xue0DAFZrA1Vsi9jTporkR7Oz/view?usp=drivesdk","Ghostrunner Gauntlet.pdf")</f>
        <v>Ghostrunner Gauntlet.pdf</v>
      </c>
      <c r="B108" s="12" t="str">
        <f t="shared" si="3"/>
        <v>Reddit Jumpchain Drive/Completed/Gauntlet</v>
      </c>
    </row>
    <row r="109">
      <c r="A109" s="12" t="str">
        <f>HYPERLINK("https://drive.google.com/file/d/1K5KjpiRrDckGzeNi2c62gWRRCId_4FcZ/view?usp=drivesdk","The Henry Stickmin Gauntlet.pdf")</f>
        <v>The Henry Stickmin Gauntlet.pdf</v>
      </c>
      <c r="B109" s="12" t="str">
        <f t="shared" si="3"/>
        <v>Reddit Jumpchain Drive/Completed/Gauntlet</v>
      </c>
    </row>
    <row r="110">
      <c r="A110" s="12" t="str">
        <f>HYPERLINK("https://drive.google.com/file/d/1tysa9PqiOraEhHZWsPgr4oH_FljZwCCz/view?usp=drivesdk","Chicory A Colourful Tale Gauntlet.pdf")</f>
        <v>Chicory A Colourful Tale Gauntlet.pdf</v>
      </c>
      <c r="B110" s="12" t="str">
        <f t="shared" si="3"/>
        <v>Reddit Jumpchain Drive/Completed/Gauntlet</v>
      </c>
    </row>
    <row r="111">
      <c r="A111" s="12" t="str">
        <f>HYPERLINK("https://drive.google.com/file/d/1r6-rfIgtFSH5b_x1bInqvccPl9V-2i7o/view?usp=drivesdk","Azure Dreams Gauntlet.pdf")</f>
        <v>Azure Dreams Gauntlet.pdf</v>
      </c>
      <c r="B111" s="12" t="str">
        <f t="shared" si="3"/>
        <v>Reddit Jumpchain Drive/Completed/Gauntlet</v>
      </c>
    </row>
    <row r="112">
      <c r="A112" s="12" t="str">
        <f>HYPERLINK("https://drive.google.com/file/d/1bamvU4qAOF9lj4bZQjXQhGt6pTRwVIX1/view?usp=drivesdk","Outer Wilds Gauntlet.pdf")</f>
        <v>Outer Wilds Gauntlet.pdf</v>
      </c>
      <c r="B112" s="12" t="str">
        <f t="shared" si="3"/>
        <v>Reddit Jumpchain Drive/Completed/Gauntlet</v>
      </c>
    </row>
    <row r="113">
      <c r="A113" s="12" t="str">
        <f>HYPERLINK("https://drive.google.com/file/d/1_CLCF9sE-HADvk_Ke18_Uj-0aqIqWkfH/view?usp=drivesdk","Jumpchain - Modded Celeste.pdf")</f>
        <v>Jumpchain - Modded Celeste.pdf</v>
      </c>
      <c r="B113" s="12" t="str">
        <f t="shared" si="3"/>
        <v>Reddit Jumpchain Drive/Completed/Gauntlet</v>
      </c>
    </row>
    <row r="114">
      <c r="A114" s="12" t="str">
        <f>HYPERLINK("https://drive.google.com/file/d/15tkE9Nb_5MFv_K3P1KlxCylHqYBiBb6r/view?usp=drivesdk","Jumpcon Gauntlet v0.3.pdf")</f>
        <v>Jumpcon Gauntlet v0.3.pdf</v>
      </c>
      <c r="B114" s="12" t="str">
        <f t="shared" si="3"/>
        <v>Reddit Jumpchain Drive/Completed/Gauntlet</v>
      </c>
    </row>
    <row r="115">
      <c r="A115" s="12" t="str">
        <f>HYPERLINK("https://drive.google.com/file/d/1LPkqzAUim91u1JaFKCg4q1aUF8bjX4qA/view?usp=drivesdk","SUPERHOT1.1.1.pdf")</f>
        <v>SUPERHOT1.1.1.pdf</v>
      </c>
      <c r="B115" s="12" t="str">
        <f t="shared" si="3"/>
        <v>Reddit Jumpchain Drive/Completed/Gauntlet</v>
      </c>
    </row>
    <row r="116">
      <c r="A116" s="12" t="str">
        <f>HYPERLINK("https://drive.google.com/file/d/1OWM5KyMbC8D2Pueexgr5DXbuzDduEevq/view?usp=drivesdk","Song of Horror.pdf")</f>
        <v>Song of Horror.pdf</v>
      </c>
      <c r="B116" s="12" t="str">
        <f t="shared" si="3"/>
        <v>Reddit Jumpchain Drive/Completed/Gauntlet</v>
      </c>
    </row>
    <row r="117">
      <c r="A117" s="12" t="str">
        <f>HYPERLINK("https://drive.google.com/file/d/1iRnHNhJhgz6AW4DSc4IFXjM890N7cGDw/view?usp=drivesdk","Valheim 1.0.pdf")</f>
        <v>Valheim 1.0.pdf</v>
      </c>
      <c r="B117" s="12" t="str">
        <f t="shared" si="3"/>
        <v>Reddit Jumpchain Drive/Completed/Gauntlet</v>
      </c>
    </row>
    <row r="118">
      <c r="A118" s="12" t="str">
        <f>HYPERLINK("https://drive.google.com/file/d/1QPGj7z4J_7oSQeRN0yP6v6SvtcBXE2xz/view?usp=drivesdk","BTOOOM! Gauntlet.pdf")</f>
        <v>BTOOOM! Gauntlet.pdf</v>
      </c>
      <c r="B118" s="12" t="str">
        <f t="shared" si="3"/>
        <v>Reddit Jumpchain Drive/Completed/Gauntlet</v>
      </c>
    </row>
    <row r="119">
      <c r="A119" s="12" t="str">
        <f>HYPERLINK("https://drive.google.com/file/d/1d6fDMaEfAE9_Rf0lyvHoGbLRlJvgxxrU/view?usp=drivesdk","Völgarr the Viking Gauntlet (Ver 2.0).pdf")</f>
        <v>Völgarr the Viking Gauntlet (Ver 2.0).pdf</v>
      </c>
      <c r="B119" s="12" t="str">
        <f t="shared" si="3"/>
        <v>Reddit Jumpchain Drive/Completed/Gauntlet</v>
      </c>
    </row>
    <row r="120">
      <c r="A120" s="12" t="str">
        <f>HYPERLINK("https://drive.google.com/file/d/1ooGTOL9FVmFyKD21UECvlRYkJ_lYhCdF/view?usp=drivesdk","Saw Gauntlet v.1.2.pdf")</f>
        <v>Saw Gauntlet v.1.2.pdf</v>
      </c>
      <c r="B120" s="12" t="str">
        <f t="shared" si="3"/>
        <v>Reddit Jumpchain Drive/Completed/Gauntlet</v>
      </c>
    </row>
    <row r="121">
      <c r="A121" s="12" t="str">
        <f>HYPERLINK("https://drive.google.com/file/d/17QD1LyTSLJ8_r6ka2g8gGlzz1cBlsJtn/view?usp=drivesdk","Beat Saber Gauntlet – The Reddit Edition V1.0.pdf")</f>
        <v>Beat Saber Gauntlet – The Reddit Edition V1.0.pdf</v>
      </c>
      <c r="B121" s="12" t="str">
        <f t="shared" si="3"/>
        <v>Reddit Jumpchain Drive/Completed/Gauntlet</v>
      </c>
    </row>
    <row r="122">
      <c r="A122" s="12" t="str">
        <f>HYPERLINK("https://drive.google.com/file/d/14zTX8WAyq-UoYDRnBKUfUvIDDYqasNe_/view?usp=drivesdk","Soul Graft Battle Royale Gauntlet.pdf")</f>
        <v>Soul Graft Battle Royale Gauntlet.pdf</v>
      </c>
      <c r="B122" s="12" t="str">
        <f t="shared" si="3"/>
        <v>Reddit Jumpchain Drive/Completed/Gauntlet</v>
      </c>
    </row>
    <row r="123">
      <c r="A123" s="12" t="str">
        <f>HYPERLINK("https://drive.google.com/file/d/1WVKX7iUKkSPt5wN34czKOmiC2pauFtYV/view?usp=drivesdk","Imperial Guard Regiment Gauntlet 1.0.pdf")</f>
        <v>Imperial Guard Regiment Gauntlet 1.0.pdf</v>
      </c>
      <c r="B123" s="12" t="str">
        <f t="shared" si="3"/>
        <v>Reddit Jumpchain Drive/Completed/Gauntlet</v>
      </c>
    </row>
    <row r="124">
      <c r="A124" s="12" t="str">
        <f>HYPERLINK("https://drive.google.com/file/d/1wTYYxyKXmpqcUfn0FsCvEXMIdSY8HKPb/view?usp=drivesdk","Tower of Guns Gauntlet.pdf")</f>
        <v>Tower of Guns Gauntlet.pdf</v>
      </c>
      <c r="B124" s="12" t="str">
        <f t="shared" si="3"/>
        <v>Reddit Jumpchain Drive/Completed/Gauntlet</v>
      </c>
    </row>
    <row r="125">
      <c r="A125" s="12" t="str">
        <f>HYPERLINK("https://drive.google.com/file/d/12wwKjoYm5J9wMUpeQlDv5RMjlKwS52h0/view?usp=drivesdk","Slave Zero Gauntlet V1.0.pdf")</f>
        <v>Slave Zero Gauntlet V1.0.pdf</v>
      </c>
      <c r="B125" s="12" t="str">
        <f t="shared" si="3"/>
        <v>Reddit Jumpchain Drive/Completed/Gauntlet</v>
      </c>
    </row>
    <row r="126">
      <c r="A126" s="12" t="str">
        <f>HYPERLINK("https://drive.google.com/file/d/14-gG9v0q_GxC_hbkIH_X0WzFY59N-7QD/view?usp=drivesdk","Journey Gauntlet")</f>
        <v>Journey Gauntlet</v>
      </c>
      <c r="B126" s="12" t="str">
        <f t="shared" si="3"/>
        <v>Reddit Jumpchain Drive/Completed/Gauntlet</v>
      </c>
    </row>
    <row r="127">
      <c r="A127" s="12" t="str">
        <f>HYPERLINK("https://drive.google.com/file/d/1oPT4F7D8l6w7x8QMF7XToby1R2YncG0s/view?usp=drivesdk","The House of the Dead Jump Chain Gauntlet V1.pdf")</f>
        <v>The House of the Dead Jump Chain Gauntlet V1.pdf</v>
      </c>
      <c r="B127" s="12" t="str">
        <f t="shared" si="3"/>
        <v>Reddit Jumpchain Drive/Completed/Gauntlet</v>
      </c>
    </row>
    <row r="128">
      <c r="A128" s="12" t="str">
        <f>HYPERLINK("https://drive.google.com/file/d/1B9UN7CD1rij45aFl8rknHqRZyKwjJJGX/view?usp=drivesdk","Untitled Goose Game Jump")</f>
        <v>Untitled Goose Game Jump</v>
      </c>
      <c r="B128" s="12" t="str">
        <f t="shared" si="3"/>
        <v>Reddit Jumpchain Drive/Completed/Gauntlet</v>
      </c>
    </row>
    <row r="129">
      <c r="A129" s="12" t="str">
        <f>HYPERLINK("https://drive.google.com/file/d/1VtONwWUQL8rCrwIS53O4u0MfL9LzxGky/view?usp=drivesdk","Scavenger Hunt Gauntlet.pdf")</f>
        <v>Scavenger Hunt Gauntlet.pdf</v>
      </c>
      <c r="B129" s="12" t="str">
        <f t="shared" si="3"/>
        <v>Reddit Jumpchain Drive/Completed/Gauntlet</v>
      </c>
    </row>
    <row r="130">
      <c r="A130" s="12" t="str">
        <f>HYPERLINK("https://drive.google.com/file/d/1xpxIq8RJ8YD122kBuantCM5vZxg3FKNC/view?usp=drivesdk","Scavenger Hunt Gauntlet")</f>
        <v>Scavenger Hunt Gauntlet</v>
      </c>
      <c r="B130" s="12" t="str">
        <f t="shared" si="3"/>
        <v>Reddit Jumpchain Drive/Completed/Gauntlet</v>
      </c>
    </row>
    <row r="131">
      <c r="A131" s="12" t="str">
        <f>HYPERLINK("https://drive.google.com/file/d/11CJOSpkvfK7wxrACpN9MV9qL_8ISsR6q/view?usp=drivesdk","Worm - Original Mode Gauntlet.pdf")</f>
        <v>Worm - Original Mode Gauntlet.pdf</v>
      </c>
      <c r="B131" s="12" t="str">
        <f t="shared" si="3"/>
        <v>Reddit Jumpchain Drive/Completed/Gauntlet</v>
      </c>
    </row>
    <row r="132">
      <c r="A132" s="12" t="str">
        <f>HYPERLINK("https://drive.google.com/file/d/15l7wL0uZ7XdscGdlmLLa-85g4oviHlWo/view?usp=drivesdk","Worm - Original Mode Gauntlet")</f>
        <v>Worm - Original Mode Gauntlet</v>
      </c>
      <c r="B132" s="12" t="str">
        <f t="shared" si="3"/>
        <v>Reddit Jumpchain Drive/Completed/Gauntlet</v>
      </c>
    </row>
    <row r="133">
      <c r="A133" s="12" t="str">
        <f>HYPERLINK("https://drive.google.com/file/d/1pwvvcFFIRKuAY_z_s8y98ZC3AJ7Zbz7E/view?usp=drivesdk","DUSK Gauntlet.pdf")</f>
        <v>DUSK Gauntlet.pdf</v>
      </c>
      <c r="B133" s="12" t="str">
        <f t="shared" si="3"/>
        <v>Reddit Jumpchain Drive/Completed/Gauntlet</v>
      </c>
    </row>
    <row r="134">
      <c r="A134" s="12" t="str">
        <f>HYPERLINK("https://drive.google.com/file/d/1UEthTv3wPqwo9JWjxFM9v54vH0BnVc2q/view?usp=drivesdk","The Binding of Isaac Jumpchain.pdf")</f>
        <v>The Binding of Isaac Jumpchain.pdf</v>
      </c>
      <c r="B134" s="12" t="str">
        <f t="shared" si="3"/>
        <v>Reddit Jumpchain Drive/Completed/Gauntlet</v>
      </c>
    </row>
    <row r="135">
      <c r="A135" s="12" t="str">
        <f>HYPERLINK("https://drive.google.com/file/d/1bQMBYmhACmmOM9SemuNFE9X5cy3I_gGM/view?usp=drivesdk","Luigi's Mansion Gauntlet.pdf")</f>
        <v>Luigi's Mansion Gauntlet.pdf</v>
      </c>
      <c r="B135" s="12" t="str">
        <f t="shared" si="3"/>
        <v>Reddit Jumpchain Drive/Completed/Gauntlet</v>
      </c>
    </row>
    <row r="136">
      <c r="A136" s="12" t="str">
        <f>HYPERLINK("https://drive.google.com/file/d/1clWoKN22mZveWJ6Ah7SmIF13pT6TbCNT/view?usp=drivesdk","Hunt_ Showdown (Gauntlet) (1) (3).pdf")</f>
        <v>Hunt_ Showdown (Gauntlet) (1) (3).pdf</v>
      </c>
      <c r="B136" s="12" t="str">
        <f t="shared" si="3"/>
        <v>Reddit Jumpchain Drive/Completed/Gauntlet</v>
      </c>
    </row>
    <row r="137">
      <c r="A137" s="12" t="str">
        <f>HYPERLINK("https://drive.google.com/file/d/1GBfTBFwltWtxekx3swRq0yUrjPD127rp/view?usp=drivesdk","Apocalyptica JumpChain.pdf")</f>
        <v>Apocalyptica JumpChain.pdf</v>
      </c>
      <c r="B137" s="12" t="str">
        <f t="shared" ref="B137:B177" si="4">HYPERLINK("https://drive.google.com/drive/folders/1UQqll5Kx9DuyBHYadjXUyGy6QkQogn5G","SB Drive/Complete jumps/Gauntlets")</f>
        <v>SB Drive/Complete jumps/Gauntlets</v>
      </c>
    </row>
    <row r="138">
      <c r="A138" s="12" t="str">
        <f>HYPERLINK("https://drive.google.com/file/d/1yM6v98TsjDQcjxbVuzpc1-PcFT8cIZnY/view?usp=drivesdk","The 8-Bit Video Game Gauntlet.pdf")</f>
        <v>The 8-Bit Video Game Gauntlet.pdf</v>
      </c>
      <c r="B138" s="12" t="str">
        <f t="shared" si="4"/>
        <v>SB Drive/Complete jumps/Gauntlets</v>
      </c>
    </row>
    <row r="139">
      <c r="A139" s="12" t="str">
        <f>HYPERLINK("https://drive.google.com/file/d/1EsWc3_oLU7luZd9ofwrT_n8zCTSgdVTh/view?usp=drivesdk","Starcraft II: Race-Swapped Campaigns Gauntlet.pdf")</f>
        <v>Starcraft II: Race-Swapped Campaigns Gauntlet.pdf</v>
      </c>
      <c r="B139" s="12" t="str">
        <f t="shared" si="4"/>
        <v>SB Drive/Complete jumps/Gauntlets</v>
      </c>
    </row>
    <row r="140">
      <c r="A140" s="12" t="str">
        <f>HYPERLINK("https://drive.google.com/file/d/1BISBiDVWL6FtvdAVc3uv5DxEHH4bbCQp/view?usp=drivesdk","3 Minute Cup Noodle Gauntlet.pdf")</f>
        <v>3 Minute Cup Noodle Gauntlet.pdf</v>
      </c>
      <c r="B140" s="12" t="str">
        <f t="shared" si="4"/>
        <v>SB Drive/Complete jumps/Gauntlets</v>
      </c>
    </row>
    <row r="141">
      <c r="A141" s="12" t="str">
        <f>HYPERLINK("https://drive.google.com/file/d/1wtYGksqx8gWwLyZJ8wKQ34iF7j62tzub/view?usp=drivesdk","Soul Graft Battle Royale Gauntlet.pdf")</f>
        <v>Soul Graft Battle Royale Gauntlet.pdf</v>
      </c>
      <c r="B141" s="12" t="str">
        <f t="shared" si="4"/>
        <v>SB Drive/Complete jumps/Gauntlets</v>
      </c>
    </row>
    <row r="142">
      <c r="A142" s="12" t="str">
        <f>HYPERLINK("https://drive.google.com/file/d/1u-NGCanBTqZpwoEHiu0xt1JQ2_glJMvB/view?usp=drivesdk","Outpost Gauntlet.pdf")</f>
        <v>Outpost Gauntlet.pdf</v>
      </c>
      <c r="B142" s="12" t="str">
        <f t="shared" si="4"/>
        <v>SB Drive/Complete jumps/Gauntlets</v>
      </c>
    </row>
    <row r="143">
      <c r="A143" s="12" t="str">
        <f>HYPERLINK("https://drive.google.com/file/d/19cBR5Aq4SCbxxjvCmHGtb9Q1dyCOKjvP/view?usp=drivesdk","The Drive Gauntlet.pdf")</f>
        <v>The Drive Gauntlet.pdf</v>
      </c>
      <c r="B143" s="12" t="str">
        <f t="shared" si="4"/>
        <v>SB Drive/Complete jumps/Gauntlets</v>
      </c>
    </row>
    <row r="144">
      <c r="A144" s="12" t="str">
        <f>HYPERLINK("https://drive.google.com/file/d/1gnpiydnoisWZu1T7bcM6sWVsL8UPh5jY/view?usp=drivesdk","Satisfactorio Gauntlet.pdf")</f>
        <v>Satisfactorio Gauntlet.pdf</v>
      </c>
      <c r="B144" s="12" t="str">
        <f t="shared" si="4"/>
        <v>SB Drive/Complete jumps/Gauntlets</v>
      </c>
    </row>
    <row r="145">
      <c r="A145" s="12" t="str">
        <f>HYPERLINK("https://drive.google.com/file/d/1_kBaqKMFvX9g1V3MX-F8iAcnxRQ_ZeN_/view?usp=drivesdk","Particle Fleet Gauntlet.pdf")</f>
        <v>Particle Fleet Gauntlet.pdf</v>
      </c>
      <c r="B145" s="12" t="str">
        <f t="shared" si="4"/>
        <v>SB Drive/Complete jumps/Gauntlets</v>
      </c>
    </row>
    <row r="146">
      <c r="A146" s="12" t="str">
        <f>HYPERLINK("https://drive.google.com/file/d/15O3-2Pg4rTR9fJFMr29NDO3npw1GiKuP/view?usp=drivesdk","OneShot Gauntlet.pdf")</f>
        <v>OneShot Gauntlet.pdf</v>
      </c>
      <c r="B146" s="12" t="str">
        <f t="shared" si="4"/>
        <v>SB Drive/Complete jumps/Gauntlets</v>
      </c>
    </row>
    <row r="147">
      <c r="A147" s="12" t="str">
        <f>HYPERLINK("https://drive.google.com/file/d/1LiuAqzg9OlPzo99aZi-OAIdDqvAuQ9D1/view?usp=drivesdk","Generic First Gauntlet.pdf")</f>
        <v>Generic First Gauntlet.pdf</v>
      </c>
      <c r="B147" s="12" t="str">
        <f t="shared" si="4"/>
        <v>SB Drive/Complete jumps/Gauntlets</v>
      </c>
    </row>
    <row r="148">
      <c r="A148" s="12" t="str">
        <f>HYPERLINK("https://drive.google.com/file/d/1Mn4tFPjapcSySWjIsAxhyBw4s_qrhKYq/view?usp=drivesdk","Hunt: Showdown Gauntlet.pdf")</f>
        <v>Hunt: Showdown Gauntlet.pdf</v>
      </c>
      <c r="B148" s="12" t="str">
        <f t="shared" si="4"/>
        <v>SB Drive/Complete jumps/Gauntlets</v>
      </c>
    </row>
    <row r="149">
      <c r="A149" s="12" t="str">
        <f>HYPERLINK("https://drive.google.com/file/d/1pizKrzw87RP9SEV1pIJASI_qQqiE8cT9/view?usp=drivesdk","Marvel Future Fight Gauntlet.pdf")</f>
        <v>Marvel Future Fight Gauntlet.pdf</v>
      </c>
      <c r="B149" s="12" t="str">
        <f t="shared" si="4"/>
        <v>SB Drive/Complete jumps/Gauntlets</v>
      </c>
    </row>
    <row r="150">
      <c r="A150" s="12" t="str">
        <f>HYPERLINK("https://drive.google.com/file/d/1TZxDfamrXHZVSQtLKB-_CtzKlLg5nQNV/view?usp=drivesdk","Wraith the Oblivion: Afterlife Gauntlet.pdf")</f>
        <v>Wraith the Oblivion: Afterlife Gauntlet.pdf</v>
      </c>
      <c r="B150" s="12" t="str">
        <f t="shared" si="4"/>
        <v>SB Drive/Complete jumps/Gauntlets</v>
      </c>
    </row>
    <row r="151">
      <c r="A151" s="12" t="str">
        <f>HYPERLINK("https://drive.google.com/file/d/1Qg5X6LsvEwVNIRznn4Q5e1UuEMvtN3OZ/view?usp=drivesdk","Three Star Gauntlet.pdf")</f>
        <v>Three Star Gauntlet.pdf</v>
      </c>
      <c r="B151" s="12" t="str">
        <f t="shared" si="4"/>
        <v>SB Drive/Complete jumps/Gauntlets</v>
      </c>
    </row>
    <row r="152">
      <c r="A152" s="12" t="str">
        <f>HYPERLINK("https://drive.google.com/file/d/1o9nFkldvmVBN28Lzjx3-MxC5gIsz1olN/view?usp=drivesdk","Sweet Home Gauntlet.pdf")</f>
        <v>Sweet Home Gauntlet.pdf</v>
      </c>
      <c r="B152" s="12" t="str">
        <f t="shared" si="4"/>
        <v>SB Drive/Complete jumps/Gauntlets</v>
      </c>
    </row>
    <row r="153">
      <c r="A153" s="12" t="str">
        <f>HYPERLINK("https://drive.google.com/file/d/1YRxhuV5QbmeMYkcEIjvlCaC-UVtaVeMP/view?usp=drivesdk","Slave Zero Gauntlet.pdf")</f>
        <v>Slave Zero Gauntlet.pdf</v>
      </c>
      <c r="B153" s="12" t="str">
        <f t="shared" si="4"/>
        <v>SB Drive/Complete jumps/Gauntlets</v>
      </c>
    </row>
    <row r="154">
      <c r="A154" s="12" t="str">
        <f>HYPERLINK("https://drive.google.com/file/d/1yWWObsnlFj4lN0GpRRwlB1pmKpOkA6Wj/view?usp=drivesdk","Raptor: Call Of The Shadows Gauntlet.pdf")</f>
        <v>Raptor: Call Of The Shadows Gauntlet.pdf</v>
      </c>
      <c r="B154" s="12" t="str">
        <f t="shared" si="4"/>
        <v>SB Drive/Complete jumps/Gauntlets</v>
      </c>
    </row>
    <row r="155">
      <c r="A155" s="12" t="str">
        <f>HYPERLINK("https://drive.google.com/file/d/1T9IbMW-d0h3bCCKL9akMjUCI1HjzGZNQ/view?usp=drivesdk","Prince Roger Gauntlet.pdf")</f>
        <v>Prince Roger Gauntlet.pdf</v>
      </c>
      <c r="B155" s="12" t="str">
        <f t="shared" si="4"/>
        <v>SB Drive/Complete jumps/Gauntlets</v>
      </c>
    </row>
    <row r="156">
      <c r="A156" s="12" t="str">
        <f>HYPERLINK("https://drive.google.com/file/d/1U0YuKe7LqXaQcvKYRx_rpfCu60PC6NSU/view?usp=drivesdk","It's A Game Hermione, Enjoy! Gauntlet.pdf")</f>
        <v>It's A Game Hermione, Enjoy! Gauntlet.pdf</v>
      </c>
      <c r="B156" s="12" t="str">
        <f t="shared" si="4"/>
        <v>SB Drive/Complete jumps/Gauntlets</v>
      </c>
    </row>
    <row r="157">
      <c r="A157" s="12" t="str">
        <f>HYPERLINK("https://drive.google.com/file/d/1BPfJ0loOJY6s27T8Fsxt2IC1-9axdVZV/view?usp=drivesdk","Island of El Dorado Gauntlet.pdf")</f>
        <v>Island of El Dorado Gauntlet.pdf</v>
      </c>
      <c r="B157" s="12" t="str">
        <f t="shared" si="4"/>
        <v>SB Drive/Complete jumps/Gauntlets</v>
      </c>
    </row>
    <row r="158">
      <c r="A158" s="12" t="str">
        <f>HYPERLINK("https://drive.google.com/file/d/1YZm0T12vNElFycxA5IJRPQA2DxZw9UOT/view?usp=drivesdk","Ghost Trick Gauntlet.pdf")</f>
        <v>Ghost Trick Gauntlet.pdf</v>
      </c>
      <c r="B158" s="12" t="str">
        <f t="shared" si="4"/>
        <v>SB Drive/Complete jumps/Gauntlets</v>
      </c>
    </row>
    <row r="159">
      <c r="A159" s="12" t="str">
        <f>HYPERLINK("https://drive.google.com/file/d/1W_xPl1Aix9EyK0z3ltpfpF6lT6WpsEKM/view?usp=drivesdk","Generic Time Loop Gauntlet.pdf")</f>
        <v>Generic Time Loop Gauntlet.pdf</v>
      </c>
      <c r="B159" s="12" t="str">
        <f t="shared" si="4"/>
        <v>SB Drive/Complete jumps/Gauntlets</v>
      </c>
    </row>
    <row r="160">
      <c r="A160" s="12" t="str">
        <f>HYPERLINK("https://drive.google.com/file/d/1ofxZex_4Sou1ca7OWP94OlQxUi5rhrUN/view?usp=drivesdk","Generic Childhood Gauntlet.pdf")</f>
        <v>Generic Childhood Gauntlet.pdf</v>
      </c>
      <c r="B160" s="12" t="str">
        <f t="shared" si="4"/>
        <v>SB Drive/Complete jumps/Gauntlets</v>
      </c>
    </row>
    <row r="161">
      <c r="A161" s="12" t="str">
        <f>HYPERLINK("https://drive.google.com/file/d/1cIKwxcXpmNSjSR-1YRAwQpzTe87PP4cB/view?usp=drivesdk","Demigod Gauntlet.pdf")</f>
        <v>Demigod Gauntlet.pdf</v>
      </c>
      <c r="B161" s="12" t="str">
        <f t="shared" si="4"/>
        <v>SB Drive/Complete jumps/Gauntlets</v>
      </c>
    </row>
    <row r="162">
      <c r="A162" s="12" t="str">
        <f>HYPERLINK("https://drive.google.com/file/d/12shHSNKo4_C_Gzz2lgOWayABc2lE3OAg/view?usp=drivesdk","Death Rally Gauntlet.pdf")</f>
        <v>Death Rally Gauntlet.pdf</v>
      </c>
      <c r="B162" s="12" t="str">
        <f t="shared" si="4"/>
        <v>SB Drive/Complete jumps/Gauntlets</v>
      </c>
    </row>
    <row r="163">
      <c r="A163" s="12" t="str">
        <f>HYPERLINK("https://drive.google.com/file/d/1qVtdqAGkPV014Cs_pKsVEPvwKYL1TDUt/view?usp=drivesdk","Creeper World 4 - Farsite Expedition Gauntlet.pdf")</f>
        <v>Creeper World 4 - Farsite Expedition Gauntlet.pdf</v>
      </c>
      <c r="B163" s="12" t="str">
        <f t="shared" si="4"/>
        <v>SB Drive/Complete jumps/Gauntlets</v>
      </c>
    </row>
    <row r="164">
      <c r="A164" s="12" t="str">
        <f>HYPERLINK("https://drive.google.com/file/d/1szUHim2ewFCVXOtAcDxonZqYq-lyu718/view?usp=drivesdk","Brigador Gauntlet.pdf")</f>
        <v>Brigador Gauntlet.pdf</v>
      </c>
      <c r="B164" s="12" t="str">
        <f t="shared" si="4"/>
        <v>SB Drive/Complete jumps/Gauntlets</v>
      </c>
    </row>
    <row r="165">
      <c r="A165" s="12" t="str">
        <f>HYPERLINK("https://drive.google.com/file/d/1CGpoPq_ivcku0Dsw_Ah-xbf_je0Ix8yd/view?usp=drivesdk","Baccano Gauntlet Part 1 - The Advena Avis and the Grand Panacea.pdf")</f>
        <v>Baccano Gauntlet Part 1 - The Advena Avis and the Grand Panacea.pdf</v>
      </c>
      <c r="B165" s="12" t="str">
        <f t="shared" si="4"/>
        <v>SB Drive/Complete jumps/Gauntlets</v>
      </c>
    </row>
    <row r="166">
      <c r="A166" s="12" t="str">
        <f>HYPERLINK("https://drive.google.com/file/d/1ZeC-Z4TpymIGan-pCHdlP-NuTTOj-rul/view?usp=drivesdk","Chicory A Colourful Tale Gauntlet.pdf")</f>
        <v>Chicory A Colourful Tale Gauntlet.pdf</v>
      </c>
      <c r="B166" s="12" t="str">
        <f t="shared" si="4"/>
        <v>SB Drive/Complete jumps/Gauntlets</v>
      </c>
    </row>
    <row r="167">
      <c r="A167" s="12" t="str">
        <f>HYPERLINK("https://drive.google.com/file/d/1Ja3n7LqbXVpyrnHjkQRfqUy4G8ZIuBNp/view?usp=drivesdk","Generic Edutainment Video Game Gauntlet.pdf")</f>
        <v>Generic Edutainment Video Game Gauntlet.pdf</v>
      </c>
      <c r="B167" s="12" t="str">
        <f t="shared" si="4"/>
        <v>SB Drive/Complete jumps/Gauntlets</v>
      </c>
    </row>
    <row r="168">
      <c r="A168" s="12" t="str">
        <f>HYPERLINK("https://drive.google.com/file/d/1YNG5O19nWrH-nnxCGM30eDEncZIC9Y-v/view?usp=drivesdk","Tower of Guns Gauntlet.pdf")</f>
        <v>Tower of Guns Gauntlet.pdf</v>
      </c>
      <c r="B168" s="12" t="str">
        <f t="shared" si="4"/>
        <v>SB Drive/Complete jumps/Gauntlets</v>
      </c>
    </row>
    <row r="169">
      <c r="A169" s="12" t="str">
        <f>HYPERLINK("https://drive.google.com/file/d/1uReM1mMRvL2QrAni_plhqFtoLq-c8RCs/view?usp=drivesdk","Fall Guys Ultimate Knockout Gauntlet.pdf")</f>
        <v>Fall Guys Ultimate Knockout Gauntlet.pdf</v>
      </c>
      <c r="B169" s="12" t="str">
        <f t="shared" si="4"/>
        <v>SB Drive/Complete jumps/Gauntlets</v>
      </c>
    </row>
    <row r="170">
      <c r="A170" s="12" t="str">
        <f>HYPERLINK("https://drive.google.com/file/d/1CzFOFvcPVyTWghX_1Zwr8VyW9YIePRnI/view?usp=drivesdk","Reventure Gauntlet.pdf")</f>
        <v>Reventure Gauntlet.pdf</v>
      </c>
      <c r="B170" s="12" t="str">
        <f t="shared" si="4"/>
        <v>SB Drive/Complete jumps/Gauntlets</v>
      </c>
    </row>
    <row r="171">
      <c r="A171" s="12" t="str">
        <f>HYPERLINK("https://drive.google.com/file/d/1eO5DOstHtBuLHBvewA_Bx2x1Q8aSkrq5/view?usp=drivesdk","Castle Crashing the Beard Gauntlet.pdf")</f>
        <v>Castle Crashing the Beard Gauntlet.pdf</v>
      </c>
      <c r="B171" s="12" t="str">
        <f t="shared" si="4"/>
        <v>SB Drive/Complete jumps/Gauntlets</v>
      </c>
    </row>
    <row r="172">
      <c r="A172" s="12" t="str">
        <f>HYPERLINK("https://drive.google.com/file/d/1eqOEabsuHLS5IyrIV23UsE6TQ5ulxHLu/view?usp=drivesdk","Generic Dinosaur Gauntlet.pdf")</f>
        <v>Generic Dinosaur Gauntlet.pdf</v>
      </c>
      <c r="B172" s="12" t="str">
        <f t="shared" si="4"/>
        <v>SB Drive/Complete jumps/Gauntlets</v>
      </c>
    </row>
    <row r="173">
      <c r="A173" s="12" t="str">
        <f>HYPERLINK("https://drive.google.com/file/d/1sdpuQUBqlgwTJInUrRtH7g1qazrLiDhA/view?usp=drivesdk","PUBG Gauntlet.pdf")</f>
        <v>PUBG Gauntlet.pdf</v>
      </c>
      <c r="B173" s="12" t="str">
        <f t="shared" si="4"/>
        <v>SB Drive/Complete jumps/Gauntlets</v>
      </c>
    </row>
    <row r="174">
      <c r="A174" s="12" t="str">
        <f>HYPERLINK("https://drive.google.com/file/d/17a_L7z7mys9-uSmVW4izN9hp8GfIyvlQ/view?usp=drivesdk","Subnautica Gauntlet.pdf")</f>
        <v>Subnautica Gauntlet.pdf</v>
      </c>
      <c r="B174" s="12" t="str">
        <f t="shared" si="4"/>
        <v>SB Drive/Complete jumps/Gauntlets</v>
      </c>
    </row>
    <row r="175">
      <c r="A175" s="12" t="str">
        <f>HYPERLINK("https://drive.google.com/file/d/0By8NY-NO4-N5VXRYYjQ0TXFieE0/view?usp=drivesdk&amp;resourcekey=0-9_ueQUO9QoEpciVwtCKn6g","Tap Titans Gauntlet.pdf")</f>
        <v>Tap Titans Gauntlet.pdf</v>
      </c>
      <c r="B175" s="12" t="str">
        <f t="shared" si="4"/>
        <v>SB Drive/Complete jumps/Gauntlets</v>
      </c>
    </row>
    <row r="176">
      <c r="A176" s="12" t="str">
        <f>HYPERLINK("https://drive.google.com/file/d/0By8NY-NO4-N5eFNhMzFjM0I0OVk/view?usp=drivesdk&amp;resourcekey=0-J1KuURA8vK8hcUPOGGEyIw","Ib Gauntlet.pdf")</f>
        <v>Ib Gauntlet.pdf</v>
      </c>
      <c r="B176" s="12" t="str">
        <f t="shared" si="4"/>
        <v>SB Drive/Complete jumps/Gauntlets</v>
      </c>
    </row>
    <row r="177">
      <c r="A177" s="12" t="str">
        <f>HYPERLINK("https://drive.google.com/file/d/0By8NY-NO4-N5M19VVzl0U0dNNjQ/view?usp=drivesdk&amp;resourcekey=0-qP9k-FmJyIsGjzg50LqohQ","The End Gauntlet.pdf")</f>
        <v>The End Gauntlet.pdf</v>
      </c>
      <c r="B177" s="12" t="str">
        <f t="shared" si="4"/>
        <v>SB Drive/Complete jumps/Gauntlets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2" t="str">
        <f>HYPERLINK("https://drive.google.com/file/d/1NQITZY4sFFNWK6IfmBoXhYyHBAd38ip0/view?usp=drivesdk","Cosmic Motorhome Supplement.pdf")</f>
        <v>Cosmic Motorhome Supplement.pdf</v>
      </c>
      <c r="B1" s="12" t="str">
        <f t="shared" ref="B1:B13" si="1">HYPERLINK("https://drive.google.com/drive/folders/1Vn-he5gzsRKyZzememExgQDobaM-aFMP","DriveAnon's 4chan Drive/2. EVERYONE ELSE'S JUMPS/6. Supplements")</f>
        <v>DriveAnon's 4chan Drive/2. EVERYONE ELSE'S JUMPS/6. Supplements</v>
      </c>
    </row>
    <row r="2">
      <c r="A2" s="12" t="str">
        <f>HYPERLINK("https://drive.google.com/file/d/1NeXmaXo7VsqZIM1732GZMMwgbtoHCFSK/view?usp=drivesdk","UNIVERSAL DRAWBACKS SUPPLEMENT.pdf")</f>
        <v>UNIVERSAL DRAWBACKS SUPPLEMENT.pdf</v>
      </c>
      <c r="B2" s="12" t="str">
        <f t="shared" si="1"/>
        <v>DriveAnon's 4chan Drive/2. EVERYONE ELSE'S JUMPS/6. Supplements</v>
      </c>
    </row>
    <row r="3">
      <c r="A3" s="12" t="str">
        <f>HYPERLINK("https://drive.google.com/file/d/12YIrjcacl2P4mhAZapIQ1x77Z3SVzYAf/view?usp=drivesdk","Alt Chain Builder.pdf")</f>
        <v>Alt Chain Builder.pdf</v>
      </c>
      <c r="B3" s="12" t="str">
        <f t="shared" si="1"/>
        <v>DriveAnon's 4chan Drive/2. EVERYONE ELSE'S JUMPS/6. Supplements</v>
      </c>
    </row>
    <row r="4">
      <c r="A4" s="12" t="str">
        <f>HYPERLINK("https://drive.google.com/file/d/1Ba92RskxGrrAVLfK4KJeOSY4O5RgGa2p/view?usp=drivesdk","Arena Supplement.pdf")</f>
        <v>Arena Supplement.pdf</v>
      </c>
      <c r="B4" s="12" t="str">
        <f t="shared" si="1"/>
        <v>DriveAnon's 4chan Drive/2. EVERYONE ELSE'S JUMPS/6. Supplements</v>
      </c>
    </row>
    <row r="5">
      <c r="A5" s="12" t="str">
        <f>HYPERLINK("https://drive.google.com/file/d/1QNPsINbp6BnL16QDmy3AZuwuXAqlv3-3/view?usp=drivesdk","JumpChain Multiplayer.pdf")</f>
        <v>JumpChain Multiplayer.pdf</v>
      </c>
      <c r="B5" s="12" t="str">
        <f t="shared" si="1"/>
        <v>DriveAnon's 4chan Drive/2. EVERYONE ELSE'S JUMPS/6. Supplements</v>
      </c>
    </row>
    <row r="6">
      <c r="A6" s="12" t="str">
        <f>HYPERLINK("https://drive.google.com/file/d/1YXw549JxB7vuLLXQGIPruRfhSh_yeq6j/view?usp=drivesdk","JumpChain Space Dock Add-on.pdf")</f>
        <v>JumpChain Space Dock Add-on.pdf</v>
      </c>
      <c r="B6" s="12" t="str">
        <f t="shared" si="1"/>
        <v>DriveAnon's 4chan Drive/2. EVERYONE ELSE'S JUMPS/6. Supplements</v>
      </c>
    </row>
    <row r="7">
      <c r="A7" s="12" t="str">
        <f>HYPERLINK("https://drive.google.com/file/d/1Z53x-B1vNopXStF_DSS9knIzyCtMBHai/view?usp=drivesdk","The Bay..pdf")</f>
        <v>The Bay..pdf</v>
      </c>
      <c r="B7" s="12" t="str">
        <f t="shared" si="1"/>
        <v>DriveAnon's 4chan Drive/2. EVERYONE ELSE'S JUMPS/6. Supplements</v>
      </c>
    </row>
    <row r="8">
      <c r="A8" s="12" t="str">
        <f>HYPERLINK("https://drive.google.com/file/d/1o5iSn6hMmZE5FdwyljNkXfD5rNTN3IZ0/view?usp=drivesdk","Housing System.pdf")</f>
        <v>Housing System.pdf</v>
      </c>
      <c r="B8" s="12" t="str">
        <f t="shared" si="1"/>
        <v>DriveAnon's 4chan Drive/2. EVERYONE ELSE'S JUMPS/6. Supplements</v>
      </c>
    </row>
    <row r="9">
      <c r="A9" s="12" t="str">
        <f>HYPERLINK("https://drive.google.com/file/d/1pbAk2BPjit77PjOEKuO24DDAkmShGEHp/view?usp=drivesdk","Renegade Jumper Supplement.pdf")</f>
        <v>Renegade Jumper Supplement.pdf</v>
      </c>
      <c r="B9" s="12" t="str">
        <f t="shared" si="1"/>
        <v>DriveAnon's 4chan Drive/2. EVERYONE ELSE'S JUMPS/6. Supplements</v>
      </c>
    </row>
    <row r="10">
      <c r="A10" s="12" t="str">
        <f>HYPERLINK("https://drive.google.com/file/d/1qFnNeFTChLSVVhC8m-P5dCqVFxwmmBiV/view?usp=drivesdk","Companion Housing Complex Supplement.pdf")</f>
        <v>Companion Housing Complex Supplement.pdf</v>
      </c>
      <c r="B10" s="12" t="str">
        <f t="shared" si="1"/>
        <v>DriveAnon's 4chan Drive/2. EVERYONE ELSE'S JUMPS/6. Supplements</v>
      </c>
    </row>
    <row r="11">
      <c r="A11" s="12" t="str">
        <f>HYPERLINK("https://drive.google.com/file/d/1xtqnlrhjsEajkS7jmzkMOmVCtORuSF-x/view?usp=drivesdk","Mtg supplement.pdf")</f>
        <v>Mtg supplement.pdf</v>
      </c>
      <c r="B11" s="12" t="str">
        <f t="shared" si="1"/>
        <v>DriveAnon's 4chan Drive/2. EVERYONE ELSE'S JUMPS/6. Supplements</v>
      </c>
    </row>
    <row r="12">
      <c r="A12" s="12" t="str">
        <f>HYPERLINK("https://drive.google.com/file/d/1y5zymMgWmDoGoRRUReCEJmqz7vm0Tghn/view?usp=drivesdk","You Will Never Be The Jumper Supplement.pdf")</f>
        <v>You Will Never Be The Jumper Supplement.pdf</v>
      </c>
      <c r="B12" s="12" t="str">
        <f t="shared" si="1"/>
        <v>DriveAnon's 4chan Drive/2. EVERYONE ELSE'S JUMPS/6. Supplements</v>
      </c>
    </row>
    <row r="13">
      <c r="A13" s="12" t="str">
        <f>HYPERLINK("https://drive.google.com/file/d/11EHmQN_95JGrD4dSlv_qGytIgeNQVTkG/view?usp=drivesdk","(Supplement) Wheel of Misfortune.pdf")</f>
        <v>(Supplement) Wheel of Misfortune.pdf</v>
      </c>
      <c r="B13" s="12" t="str">
        <f t="shared" si="1"/>
        <v>DriveAnon's 4chan Drive/2. EVERYONE ELSE'S JUMPS/6. Supplements</v>
      </c>
    </row>
    <row r="14">
      <c r="A14" s="12" t="str">
        <f>HYPERLINK("https://drive.google.com/file/d/1D5kfoNjXg_hyAsuqVApgNrFvxB4gHxiQ/view?usp=drivesdk","Lewd Character Customization Supplement (Black).pdf")</f>
        <v>Lewd Character Customization Supplement (Black).pdf</v>
      </c>
      <c r="B14" s="12" t="str">
        <f t="shared" ref="B14:B15" si="2">HYPERLINK("https://drive.google.com/drive/folders/1REBo5QRlT2aydG0N-lbF6uLnsQMZBBVT","QQ Drive/Lewd/Supplements/Gauntlets")</f>
        <v>QQ Drive/Lewd/Supplements/Gauntlets</v>
      </c>
    </row>
    <row r="15">
      <c r="A15" s="12" t="str">
        <f>HYPERLINK("https://drive.google.com/file/d/0By8NY-NO4-N5WTBnZjlVTEZDNG8/view?usp=drivesdk&amp;resourcekey=0-MK8XdEugT6uxryrqWyfTVA","Mogeko Castle Gauntlet.pdf")</f>
        <v>Mogeko Castle Gauntlet.pdf</v>
      </c>
      <c r="B15" s="12" t="str">
        <f t="shared" si="2"/>
        <v>QQ Drive/Lewd/Supplements/Gauntlets</v>
      </c>
    </row>
    <row r="16">
      <c r="A16" s="12" t="str">
        <f>HYPERLINK("https://drive.google.com/file/d/1WWOmGFSJ-pgvEsVr5B3v649EuNrgNRUP/view?usp=drivesdk","THE Antagonist.pdf")</f>
        <v>THE Antagonist.pdf</v>
      </c>
      <c r="B16" s="12" t="str">
        <f t="shared" ref="B16:B67" si="3">HYPERLINK("https://drive.google.com/drive/folders/1gep4Vu5pk515EOntEn___0Cdc2elA64x","Reddit Jumpchain Drive/Supplements")</f>
        <v>Reddit Jumpchain Drive/Supplements</v>
      </c>
    </row>
    <row r="17">
      <c r="A17" s="12" t="str">
        <f>HYPERLINK("https://drive.google.com/file/d/1l9cPsX7C5UoAg7CXf12WQPXHWi6L-NIm/view?usp=drivesdk","THE Antagonist Supplement.pdf")</f>
        <v>THE Antagonist Supplement.pdf</v>
      </c>
      <c r="B17" s="12" t="str">
        <f t="shared" si="3"/>
        <v>Reddit Jumpchain Drive/Supplements</v>
      </c>
    </row>
    <row r="18">
      <c r="A18" s="12" t="str">
        <f>HYPERLINK("https://drive.google.com/file/d/1HXDho_aUgh84urCqD4iIjAhFgJFOP5hH/view?usp=drivesdk","Evangelion Supplement V1.1.pdf")</f>
        <v>Evangelion Supplement V1.1.pdf</v>
      </c>
      <c r="B18" s="12" t="str">
        <f t="shared" si="3"/>
        <v>Reddit Jumpchain Drive/Supplements</v>
      </c>
    </row>
    <row r="19">
      <c r="A19" s="12" t="str">
        <f>HYPERLINK("https://drive.google.com/file/d/1feA0oZ_O9xX9KBcmzx1V_a51LEvYeWie/view?usp=drivesdk","DW75s Meta supplement WIP V0.1.pdf")</f>
        <v>DW75s Meta supplement WIP V0.1.pdf</v>
      </c>
      <c r="B19" s="12" t="str">
        <f t="shared" si="3"/>
        <v>Reddit Jumpchain Drive/Supplements</v>
      </c>
    </row>
    <row r="20">
      <c r="A20" s="12" t="str">
        <f>HYPERLINK("https://drive.google.com/file/d/1h9sqBby2u_lEy6TNBpUBtNRqI-f-WmXZ/view?usp=drivesdk","cliffc999's Jumpchain House Rules and Other Stuff.pdf")</f>
        <v>cliffc999's Jumpchain House Rules and Other Stuff.pdf</v>
      </c>
      <c r="B20" s="12" t="str">
        <f t="shared" si="3"/>
        <v>Reddit Jumpchain Drive/Supplements</v>
      </c>
    </row>
    <row r="21">
      <c r="A21" s="12" t="str">
        <f>HYPERLINK("https://drive.google.com/file/d/1h5c1XdTjQQRXaRu66LXyui_cqGtW14MK/view?usp=drivesdk","Fanficwriter1994's 3 Boons of Jumpchain.pdf")</f>
        <v>Fanficwriter1994's 3 Boons of Jumpchain.pdf</v>
      </c>
      <c r="B21" s="12" t="str">
        <f t="shared" si="3"/>
        <v>Reddit Jumpchain Drive/Supplements</v>
      </c>
    </row>
    <row r="22">
      <c r="A22" s="12" t="str">
        <f>HYPERLINK("https://drive.google.com/file/d/1m3v5xoaRyRes7ufcieZE_FqJxI6j0yax/view?usp=drivesdk","Body Mod - Free X Survival Kit Edition.pdf")</f>
        <v>Body Mod - Free X Survival Kit Edition.pdf</v>
      </c>
      <c r="B22" s="12" t="str">
        <f t="shared" si="3"/>
        <v>Reddit Jumpchain Drive/Supplements</v>
      </c>
    </row>
    <row r="23">
      <c r="A23" s="12" t="str">
        <f>HYPERLINK("https://drive.google.com/file/d/161T8Ul6jWg9UnkDAyKBWQeuR9y_Edojg/view?usp=drivesdk","The Black Jumpchain Market - Supplement.pdf")</f>
        <v>The Black Jumpchain Market - Supplement.pdf</v>
      </c>
      <c r="B23" s="12" t="str">
        <f t="shared" si="3"/>
        <v>Reddit Jumpchain Drive/Supplements</v>
      </c>
    </row>
    <row r="24">
      <c r="A24" s="12" t="str">
        <f>HYPERLINK("https://drive.google.com/file/d/1iLTdJ0pjH4V83SKGu19BI6kCDVmfI3nk/view?usp=drivesdk","Body Mod - Free X Survival Kit Edition.pdf")</f>
        <v>Body Mod - Free X Survival Kit Edition.pdf</v>
      </c>
      <c r="B24" s="12" t="str">
        <f t="shared" si="3"/>
        <v>Reddit Jumpchain Drive/Supplements</v>
      </c>
    </row>
    <row r="25">
      <c r="A25" s="12" t="str">
        <f>HYPERLINK("https://drive.google.com/file/d/1pKt56LdB-y8eghElIoaslYgdTP5cMGAf/view?usp=drivesdk","Jumpchain Content Deleter.pdf")</f>
        <v>Jumpchain Content Deleter.pdf</v>
      </c>
      <c r="B25" s="12" t="str">
        <f t="shared" si="3"/>
        <v>Reddit Jumpchain Drive/Supplements</v>
      </c>
    </row>
    <row r="26">
      <c r="A26" s="12" t="str">
        <f>HYPERLINK("https://drive.google.com/file/d/1wlk6RujA31T0H-POjB06ucxeXTrJg_1G/view?usp=drivesdk","Jumpchain Text Deleter.pdf")</f>
        <v>Jumpchain Text Deleter.pdf</v>
      </c>
      <c r="B26" s="12" t="str">
        <f t="shared" si="3"/>
        <v>Reddit Jumpchain Drive/Supplements</v>
      </c>
    </row>
    <row r="27">
      <c r="A27" s="12" t="str">
        <f>HYPERLINK("https://drive.google.com/file/d/1IhUfse8aoDFpWwgyu7jkGBCvxTtAp2MS/view?usp=drivesdk","Universal Universal Supplement.pdf")</f>
        <v>Universal Universal Supplement.pdf</v>
      </c>
      <c r="B27" s="12" t="str">
        <f t="shared" si="3"/>
        <v>Reddit Jumpchain Drive/Supplements</v>
      </c>
    </row>
    <row r="28">
      <c r="A28" s="12" t="str">
        <f>HYPERLINK("https://docs.google.com/document/d/1k_15EKqe136dnnxNV3GNQJW8doOeycUX/edit?usp=drivesdk&amp;ouid=115153177157280896651&amp;rtpof=true&amp;sd=true","Jump Document Template v1.0  (Creamsicle Edition).docx")</f>
        <v>Jump Document Template v1.0  (Creamsicle Edition).docx</v>
      </c>
      <c r="B28" s="12" t="str">
        <f t="shared" si="3"/>
        <v>Reddit Jumpchain Drive/Supplements</v>
      </c>
    </row>
    <row r="29">
      <c r="A29" s="12" t="str">
        <f>HYPERLINK("https://docs.google.com/document/d/1XdnjoZC72XRk4h8UMaX-cCvtechMuq6h/edit?usp=drivesdk&amp;ouid=115153177157280896651&amp;rtpof=true&amp;sd=true","Jump Document Template v1.0.docx")</f>
        <v>Jump Document Template v1.0.docx</v>
      </c>
      <c r="B29" s="12" t="str">
        <f t="shared" si="3"/>
        <v>Reddit Jumpchain Drive/Supplements</v>
      </c>
    </row>
    <row r="30">
      <c r="A30" s="12" t="str">
        <f>HYPERLINK("https://drive.google.com/file/d/12vzx1aLYadQKMjJm6uY8ob0l8Wnzx4Fi/view?usp=drivesdk","Jump Document Template v1.0  (Creamsicle Edition).docx.pdf")</f>
        <v>Jump Document Template v1.0  (Creamsicle Edition).docx.pdf</v>
      </c>
      <c r="B30" s="12" t="str">
        <f t="shared" si="3"/>
        <v>Reddit Jumpchain Drive/Supplements</v>
      </c>
    </row>
    <row r="31">
      <c r="A31" s="12" t="str">
        <f>HYPERLINK("https://drive.google.com/file/d/13IXW6BBBtiYSro15GKC9VoCib4aUgsa5/view?usp=drivesdk","Jump Document Template v1.0.docx.pdf")</f>
        <v>Jump Document Template v1.0.docx.pdf</v>
      </c>
      <c r="B31" s="12" t="str">
        <f t="shared" si="3"/>
        <v>Reddit Jumpchain Drive/Supplements</v>
      </c>
    </row>
    <row r="32">
      <c r="A32" s="12" t="str">
        <f>HYPERLINK("https://drive.google.com/file/d/1gR58-xldhtY7gvdyakb0cKF5cs30HQ32/view?usp=drivesdk","Blood Knight Boss Rush Supplement.pdf")</f>
        <v>Blood Knight Boss Rush Supplement.pdf</v>
      </c>
      <c r="B32" s="12" t="str">
        <f t="shared" si="3"/>
        <v>Reddit Jumpchain Drive/Supplements</v>
      </c>
    </row>
    <row r="33">
      <c r="A33" s="12" t="str">
        <f>HYPERLINK("https://docs.google.com/spreadsheets/d/1nVdGhMGTZ8hVkFY6G6x8IQ2u8KzZBA0M/edit?usp=drivesdk&amp;ouid=115153177157280896651&amp;rtpof=true&amp;sd=true","The Celestial Grimoire_ A Complete Compendium Second Edition.xlsx")</f>
        <v>The Celestial Grimoire_ A Complete Compendium Second Edition.xlsx</v>
      </c>
      <c r="B33" s="12" t="str">
        <f t="shared" si="3"/>
        <v>Reddit Jumpchain Drive/Supplements</v>
      </c>
    </row>
    <row r="34">
      <c r="A34" s="12" t="str">
        <f>HYPERLINK("https://docs.google.com/spreadsheets/d/1MyV-gs0Se2HYyPlLZpJw0nfhTv6ReO4e/edit?usp=drivesdk&amp;ouid=115153177157280896651&amp;rtpof=true&amp;sd=true","The Celestial Menagerie.xlsx")</f>
        <v>The Celestial Menagerie.xlsx</v>
      </c>
      <c r="B34" s="12" t="str">
        <f t="shared" si="3"/>
        <v>Reddit Jumpchain Drive/Supplements</v>
      </c>
    </row>
    <row r="35">
      <c r="A35" s="12" t="str">
        <f>HYPERLINK("https://drive.google.com/file/d/1Sq4xCEqOPfGHzG-wbBk7kYfyrQMn_QS1/view?usp=drivesdk","Jumpchan's Premium Scaling Bodymod for Long Contract Jumpers.pdf")</f>
        <v>Jumpchan's Premium Scaling Bodymod for Long Contract Jumpers.pdf</v>
      </c>
      <c r="B35" s="12" t="str">
        <f t="shared" si="3"/>
        <v>Reddit Jumpchain Drive/Supplements</v>
      </c>
    </row>
    <row r="36">
      <c r="A36" s="12" t="str">
        <f>HYPERLINK("https://drive.google.com/file/d/1OrFaCnRexiMFMQ07iZpJksco2GGSgjTm/view?usp=drivesdk","Evangelion Supplement V1.0.pdf")</f>
        <v>Evangelion Supplement V1.0.pdf</v>
      </c>
      <c r="B36" s="12" t="str">
        <f t="shared" si="3"/>
        <v>Reddit Jumpchain Drive/Supplements</v>
      </c>
    </row>
    <row r="37">
      <c r="A37" s="12" t="str">
        <f>HYPERLINK("https://drive.google.com/file/d/1MZtE_TODQDuLZh0Nkbt4v54v-bJE66Pl/view?usp=drivesdk","The Versaphone Supplement Ver. 1.1.pdf")</f>
        <v>The Versaphone Supplement Ver. 1.1.pdf</v>
      </c>
      <c r="B37" s="12" t="str">
        <f t="shared" si="3"/>
        <v>Reddit Jumpchain Drive/Supplements</v>
      </c>
    </row>
    <row r="38">
      <c r="A38" s="12" t="str">
        <f>HYPERLINK("https://drive.google.com/file/d/1cB_bHeq2XoQ_l809q6Sk1t4gxuurnTEb/view?usp=drivesdk","The Versaphone Supplement Ver. 1.0.pdf")</f>
        <v>The Versaphone Supplement Ver. 1.0.pdf</v>
      </c>
      <c r="B38" s="12" t="str">
        <f t="shared" si="3"/>
        <v>Reddit Jumpchain Drive/Supplements</v>
      </c>
    </row>
    <row r="39">
      <c r="A39" s="12" t="str">
        <f>HYPERLINK("https://docs.google.com/document/d/18jTsV4h7xdfxNHZk0PXAvbR8fCiYnOBRLbAJqMaoLOQ/edit?usp=drivesdk","The Bank Supplement")</f>
        <v>The Bank Supplement</v>
      </c>
      <c r="B39" s="12" t="str">
        <f t="shared" si="3"/>
        <v>Reddit Jumpchain Drive/Supplements</v>
      </c>
    </row>
    <row r="40">
      <c r="A40" s="12" t="str">
        <f>HYPERLINK("https://docs.google.com/document/d/1jQJx6p6JLsG0hEUR3HMf9S4sAeYYYUpyBS7Ebkh-u0E/edit?usp=drivesdk","Jumpchain Milestone Supplement Revised Edition 1.0")</f>
        <v>Jumpchain Milestone Supplement Revised Edition 1.0</v>
      </c>
      <c r="B40" s="12" t="str">
        <f t="shared" si="3"/>
        <v>Reddit Jumpchain Drive/Supplements</v>
      </c>
    </row>
    <row r="41">
      <c r="A41" s="12" t="str">
        <f>HYPERLINK("https://docs.google.com/document/d/15qv0B-zNU1HztoCtKrklgU4A5inxxnRk/edit?usp=drivesdk&amp;ouid=115153177157280896651&amp;rtpof=true&amp;sd=true","The Celestial Forge of 15 Domains.docx")</f>
        <v>The Celestial Forge of 15 Domains.docx</v>
      </c>
      <c r="B41" s="12" t="str">
        <f t="shared" si="3"/>
        <v>Reddit Jumpchain Drive/Supplements</v>
      </c>
    </row>
    <row r="42">
      <c r="A42" s="12" t="str">
        <f>HYPERLINK("https://drive.google.com/file/d/1m6uBGC04fQ41hO4h03SZ7NHJT01XJuLK/view?usp=drivesdk","Xianxia Cultivation Supplement v1.1.pdf")</f>
        <v>Xianxia Cultivation Supplement v1.1.pdf</v>
      </c>
      <c r="B42" s="12" t="str">
        <f t="shared" si="3"/>
        <v>Reddit Jumpchain Drive/Supplements</v>
      </c>
    </row>
    <row r="43">
      <c r="A43" s="12" t="str">
        <f>HYPERLINK("https://drive.google.com/file/d/1vVQb0J_sVtsx-26Qz4s0jZnMC_T0DOTi/view?usp=drivesdk","Jumper's Family Supplement v1.1.pdf")</f>
        <v>Jumper's Family Supplement v1.1.pdf</v>
      </c>
      <c r="B43" s="12" t="str">
        <f t="shared" si="3"/>
        <v>Reddit Jumpchain Drive/Supplements</v>
      </c>
    </row>
    <row r="44">
      <c r="A44" s="12" t="str">
        <f>HYPERLINK("https://drive.google.com/file/d/1QX0AS6gt9iqmwkYKGc_AWzosL9GzbgC4/view?usp=drivesdk","Jumper's Family Supplement v1.pdf")</f>
        <v>Jumper's Family Supplement v1.pdf</v>
      </c>
      <c r="B44" s="12" t="str">
        <f t="shared" si="3"/>
        <v>Reddit Jumpchain Drive/Supplements</v>
      </c>
    </row>
    <row r="45">
      <c r="A45" s="12" t="str">
        <f>HYPERLINK("https://drive.google.com/file/d/1iFNGKtGlgKcedOJ2Z1BioahbMBMv9xvk/view?usp=drivesdk","Celestial Forge Jumpchain Edited.pdf")</f>
        <v>Celestial Forge Jumpchain Edited.pdf</v>
      </c>
      <c r="B45" s="12" t="str">
        <f t="shared" si="3"/>
        <v>Reddit Jumpchain Drive/Supplements</v>
      </c>
    </row>
    <row r="46">
      <c r="A46" s="12" t="str">
        <f>HYPERLINK("https://drive.google.com/file/d/1ILcIc-WUyIUVfrRkwLToDihmoAlqXdz1/view?usp=drivesdk","Universal Gacha Supplement v.2.pdf")</f>
        <v>Universal Gacha Supplement v.2.pdf</v>
      </c>
      <c r="B46" s="12" t="str">
        <f t="shared" si="3"/>
        <v>Reddit Jumpchain Drive/Supplements</v>
      </c>
    </row>
    <row r="47">
      <c r="A47" s="12" t="str">
        <f>HYPERLINK("https://drive.google.com/file/d/13jxQFUDZYczMyyRqSv73wiVUZoUNYYiD/view?usp=drivesdk","Universal Gacha Supplement v.1.pdf")</f>
        <v>Universal Gacha Supplement v.1.pdf</v>
      </c>
      <c r="B47" s="12" t="str">
        <f t="shared" si="3"/>
        <v>Reddit Jumpchain Drive/Supplements</v>
      </c>
    </row>
    <row r="48">
      <c r="A48" s="12" t="str">
        <f>HYPERLINK("https://drive.google.com/file/d/1Ie9aIEjUpfAf0I5SjkgrUBGJcvPs-tb6/view?usp=drivesdk","Yesterday Supplement")</f>
        <v>Yesterday Supplement</v>
      </c>
      <c r="B48" s="12" t="str">
        <f t="shared" si="3"/>
        <v>Reddit Jumpchain Drive/Supplements</v>
      </c>
    </row>
    <row r="49">
      <c r="A49" s="12" t="str">
        <f>HYPERLINK("https://drive.google.com/file/d/1Vot2V--2fhu8I9UQOmKdjVC3mAPyhIs3/view?usp=drivesdk","Protagonist Mode Supplement v0.2.pdf")</f>
        <v>Protagonist Mode Supplement v0.2.pdf</v>
      </c>
      <c r="B49" s="12" t="str">
        <f t="shared" si="3"/>
        <v>Reddit Jumpchain Drive/Supplements</v>
      </c>
    </row>
    <row r="50">
      <c r="A50" s="12" t="str">
        <f>HYPERLINK("https://drive.google.com/file/d/1VEieIl2LlPGh1-rNNVSotWPvjeOza_FA/view?usp=drivesdk","Jumpchain Milestone Supplement Revised Edition 1.0.pdf")</f>
        <v>Jumpchain Milestone Supplement Revised Edition 1.0.pdf</v>
      </c>
      <c r="B50" s="12" t="str">
        <f t="shared" si="3"/>
        <v>Reddit Jumpchain Drive/Supplements</v>
      </c>
    </row>
    <row r="51">
      <c r="A51" s="12" t="str">
        <f>HYPERLINK("https://drive.google.com/file/d/1hZG1rOhds13hT1klC4cjq70-EunPhzJF/view?usp=drivesdk","Jumpchain Milestone Reward Supplement v1.0.pdf")</f>
        <v>Jumpchain Milestone Reward Supplement v1.0.pdf</v>
      </c>
      <c r="B51" s="12" t="str">
        <f t="shared" si="3"/>
        <v>Reddit Jumpchain Drive/Supplements</v>
      </c>
    </row>
    <row r="52">
      <c r="A52" s="12" t="str">
        <f>HYPERLINK("https://docs.google.com/document/d/1rRy7wcCVMFQSaz_5Xlb7HovxP0SepGc4/edit?usp=drivesdk&amp;ouid=115153177157280896651&amp;rtpof=true&amp;sd=true","Celestial Forge Revised - Sourcing.docx")</f>
        <v>Celestial Forge Revised - Sourcing.docx</v>
      </c>
      <c r="B52" s="12" t="str">
        <f t="shared" si="3"/>
        <v>Reddit Jumpchain Drive/Supplements</v>
      </c>
    </row>
    <row r="53">
      <c r="A53" s="12" t="str">
        <f>HYPERLINK("https://docs.google.com/document/d/11990kAwfZzW5zub0hGzOzupm4qm07C5y/edit?usp=drivesdk&amp;ouid=115153177157280896651&amp;rtpof=true&amp;sd=true","Celestial Forge Revised.docx")</f>
        <v>Celestial Forge Revised.docx</v>
      </c>
      <c r="B53" s="12" t="str">
        <f t="shared" si="3"/>
        <v>Reddit Jumpchain Drive/Supplements</v>
      </c>
    </row>
    <row r="54">
      <c r="A54" s="12" t="str">
        <f>HYPERLINK("https://drive.google.com/file/d/1pZCUlMLLguWLyVRjUgdYU2AsIvGz4l94/view?usp=drivesdk","John Wick - The Daisy Supplement.pdf")</f>
        <v>John Wick - The Daisy Supplement.pdf</v>
      </c>
      <c r="B54" s="12" t="str">
        <f t="shared" si="3"/>
        <v>Reddit Jumpchain Drive/Supplements</v>
      </c>
    </row>
    <row r="55">
      <c r="A55" s="12" t="str">
        <f>HYPERLINK("https://drive.google.com/file/d/1-GhSWWEXe45aTO6-WE3qDILlwwI4MfgL/view?usp=drivesdk","Audience Supplement Ver1.1.pdf")</f>
        <v>Audience Supplement Ver1.1.pdf</v>
      </c>
      <c r="B55" s="12" t="str">
        <f t="shared" si="3"/>
        <v>Reddit Jumpchain Drive/Supplements</v>
      </c>
    </row>
    <row r="56">
      <c r="A56" s="12" t="str">
        <f>HYPERLINK("https://drive.google.com/file/d/1q3A3_n4agHEXrhMyq64VB9TD9lzJ5_Ke/view?usp=drivesdk","Generic Mecha Jump v1.0.pdf")</f>
        <v>Generic Mecha Jump v1.0.pdf</v>
      </c>
      <c r="B56" s="12" t="str">
        <f t="shared" si="3"/>
        <v>Reddit Jumpchain Drive/Supplements</v>
      </c>
    </row>
    <row r="57">
      <c r="A57" s="12" t="str">
        <f>HYPERLINK("https://drive.google.com/file/d/1lFSAsMdTgmxnTGwqxlQPrypAnbhCxUKe/view?usp=drivesdk","Personality Mod v1.0.pdf")</f>
        <v>Personality Mod v1.0.pdf</v>
      </c>
      <c r="B57" s="12" t="str">
        <f t="shared" si="3"/>
        <v>Reddit Jumpchain Drive/Supplements</v>
      </c>
    </row>
    <row r="58">
      <c r="A58" s="12" t="str">
        <f>HYPERLINK("https://drive.google.com/file/d/1QQjG37WCtPU9aoF40walRpEPaAs1UeAn/view?usp=drivesdk","SCP Universe Task Force Supplement v1.0.pdf")</f>
        <v>SCP Universe Task Force Supplement v1.0.pdf</v>
      </c>
      <c r="B58" s="12" t="str">
        <f t="shared" si="3"/>
        <v>Reddit Jumpchain Drive/Supplements</v>
      </c>
    </row>
    <row r="59">
      <c r="A59" s="12" t="str">
        <f>HYPERLINK("https://drive.google.com/file/d/1ljc3_r7-HUQA6A0Tzmr98dvVBfhsA0pN/view?usp=drivesdk","HaremSupplement.pdf")</f>
        <v>HaremSupplement.pdf</v>
      </c>
      <c r="B59" s="12" t="str">
        <f t="shared" si="3"/>
        <v>Reddit Jumpchain Drive/Supplements</v>
      </c>
    </row>
    <row r="60">
      <c r="A60" s="12" t="str">
        <f>HYPERLINK("https://drive.google.com/file/d/1FFcMKiWXb6mhziwLy3-StC-ZeAwGE8mL/view?usp=drivesdk","The Bank Supplement.pdf")</f>
        <v>The Bank Supplement.pdf</v>
      </c>
      <c r="B60" s="12" t="str">
        <f t="shared" si="3"/>
        <v>Reddit Jumpchain Drive/Supplements</v>
      </c>
    </row>
    <row r="61">
      <c r="A61" s="12" t="str">
        <f>HYPERLINK("https://drive.google.com/file/d/1qYii6QGINUUe5TbbqtRvbezYbshzGKdq/view?usp=drivesdk","Generic Harem Supplement")</f>
        <v>Generic Harem Supplement</v>
      </c>
      <c r="B61" s="12" t="str">
        <f t="shared" si="3"/>
        <v>Reddit Jumpchain Drive/Supplements</v>
      </c>
    </row>
    <row r="62">
      <c r="A62" s="12" t="str">
        <f>HYPERLINK("https://drive.google.com/file/d/14-bpmqVNFLEuFo1UvpxGifY2F28-bdiK/view?usp=drivesdk","Essential Body Modification Supplement v1.00.pdf")</f>
        <v>Essential Body Modification Supplement v1.00.pdf</v>
      </c>
      <c r="B62" s="12" t="str">
        <f t="shared" si="3"/>
        <v>Reddit Jumpchain Drive/Supplements</v>
      </c>
    </row>
    <row r="63">
      <c r="A63" s="12" t="str">
        <f>HYPERLINK("https://drive.google.com/file/d/1dHZDQqmZ1uMGlA4V-1ysTd8PdRHmLeIP/view?usp=drivesdk","Glossary of Terms for Jumpchain.pdf")</f>
        <v>Glossary of Terms for Jumpchain.pdf</v>
      </c>
      <c r="B63" s="12" t="str">
        <f t="shared" si="3"/>
        <v>Reddit Jumpchain Drive/Supplements</v>
      </c>
    </row>
    <row r="64">
      <c r="A64" s="12" t="str">
        <f>HYPERLINK("https://drive.google.com/file/d/1-lL0GuTMfhBd9_bK458VFpHmN3o710nS/view?usp=drivesdk","Difficulty - Russian Roulette.pdf")</f>
        <v>Difficulty - Russian Roulette.pdf</v>
      </c>
      <c r="B64" s="12" t="str">
        <f t="shared" si="3"/>
        <v>Reddit Jumpchain Drive/Supplements</v>
      </c>
    </row>
    <row r="65">
      <c r="A65" s="12" t="str">
        <f>HYPERLINK("https://drive.google.com/file/d/1g9m7nrcH7VbvOZ933HvOaCt2q5ZCK0MJ/view?usp=drivesdk","Xianxia Cultivation Supplement.pdf")</f>
        <v>Xianxia Cultivation Supplement.pdf</v>
      </c>
      <c r="B65" s="12" t="str">
        <f t="shared" si="3"/>
        <v>Reddit Jumpchain Drive/Supplements</v>
      </c>
    </row>
    <row r="66">
      <c r="A66" s="12" t="str">
        <f>HYPERLINK("https://drive.google.com/file/d/1GgMqc-WMQ9YI_tGzAeGZvWMmELXf47EM/view?usp=drivesdk","Jumpchain Inventory Bag supplement. (3).pdf")</f>
        <v>Jumpchain Inventory Bag supplement. (3).pdf</v>
      </c>
      <c r="B66" s="12" t="str">
        <f t="shared" si="3"/>
        <v>Reddit Jumpchain Drive/Supplements</v>
      </c>
    </row>
    <row r="67">
      <c r="A67" s="12" t="str">
        <f>HYPERLINK("https://drive.google.com/file/d/1JZ88lhUNZndaWm31rA5isXe-6M5hQ4Gm/view?usp=drivesdk","Personal Reality Supplement.pdf")</f>
        <v>Personal Reality Supplement.pdf</v>
      </c>
      <c r="B67" s="12" t="str">
        <f t="shared" si="3"/>
        <v>Reddit Jumpchain Drive/Supplements</v>
      </c>
    </row>
    <row r="68">
      <c r="A68" s="12" t="str">
        <f>HYPERLINK("https://drive.google.com/file/d/15lXqFj3xL0rUxuq2C---9TGpjBWhCy5p/view?usp=drivesdk","Universal Drawbacks Supplement.pdf")</f>
        <v>Universal Drawbacks Supplement.pdf</v>
      </c>
      <c r="B68" s="12" t="str">
        <f t="shared" ref="B68:B80" si="4">HYPERLINK("https://drive.google.com/drive/folders/1ziDB6R97-G3EbzZCUw-K5w0u_256IRzn","SB Drive/Complete jumps/Supplements")</f>
        <v>SB Drive/Complete jumps/Supplements</v>
      </c>
    </row>
    <row r="69">
      <c r="A69" s="12" t="str">
        <f>HYPERLINK("https://drive.google.com/file/d/15Gm5dEvbMHfnmdAyPuai9fyvh5zbs3Ql/view?usp=drivesdk","Personal Reality Supplement.pdf")</f>
        <v>Personal Reality Supplement.pdf</v>
      </c>
      <c r="B69" s="12" t="str">
        <f t="shared" si="4"/>
        <v>SB Drive/Complete jumps/Supplements</v>
      </c>
    </row>
    <row r="70">
      <c r="A70" s="12" t="str">
        <f>HYPERLINK("https://drive.google.com/file/d/1dLXAl40vDGbswNdFXihHCYAFvWcH-37o/view?usp=drivesdk","Universal Universal Supplement.pdf")</f>
        <v>Universal Universal Supplement.pdf</v>
      </c>
      <c r="B70" s="12" t="str">
        <f t="shared" si="4"/>
        <v>SB Drive/Complete jumps/Supplements</v>
      </c>
    </row>
    <row r="71">
      <c r="A71" s="12" t="str">
        <f>HYPERLINK("https://drive.google.com/file/d/1w3jFl88HGU2Q5P-6_e_K3BhhGG6URCmG/view?usp=drivesdk","The Cheater's Manual Supplement.pdf")</f>
        <v>The Cheater's Manual Supplement.pdf</v>
      </c>
      <c r="B71" s="12" t="str">
        <f t="shared" si="4"/>
        <v>SB Drive/Complete jumps/Supplements</v>
      </c>
    </row>
    <row r="72">
      <c r="A72" s="12" t="str">
        <f>HYPERLINK("https://drive.google.com/file/d/1CdDgTo28SJYhtxOLIrAeuA_GIH28wmLQ/view?usp=drivesdk","Personality Mod.pdf")</f>
        <v>Personality Mod.pdf</v>
      </c>
      <c r="B72" s="12" t="str">
        <f t="shared" si="4"/>
        <v>SB Drive/Complete jumps/Supplements</v>
      </c>
    </row>
    <row r="73">
      <c r="A73" s="12" t="str">
        <f>HYPERLINK("https://drive.google.com/file/d/1KFV-51OlSt93DayNFFCU4XHHnnsY2B1V/view?usp=drivesdk","Jumpchain Gift Shop.pdf")</f>
        <v>Jumpchain Gift Shop.pdf</v>
      </c>
      <c r="B73" s="12" t="str">
        <f t="shared" si="4"/>
        <v>SB Drive/Complete jumps/Supplements</v>
      </c>
    </row>
    <row r="74">
      <c r="A74" s="12" t="str">
        <f>HYPERLINK("https://drive.google.com/file/d/1SF2pyNXIOc3T_z6N7kjfnTaAmSIr6YKm/view?usp=drivesdk","Generic Mecha Supplement.pdf")</f>
        <v>Generic Mecha Supplement.pdf</v>
      </c>
      <c r="B74" s="12" t="str">
        <f t="shared" si="4"/>
        <v>SB Drive/Complete jumps/Supplements</v>
      </c>
    </row>
    <row r="75">
      <c r="A75" s="12" t="str">
        <f>HYPERLINK("https://drive.google.com/file/d/1HPb-8bQGP930twWAB2ixf-ZQPpPkzE2X/view?usp=drivesdk","Generic Spaceship Supplement.pdf")</f>
        <v>Generic Spaceship Supplement.pdf</v>
      </c>
      <c r="B75" s="12" t="str">
        <f t="shared" si="4"/>
        <v>SB Drive/Complete jumps/Supplements</v>
      </c>
    </row>
    <row r="76">
      <c r="A76" s="12" t="str">
        <f>HYPERLINK("https://drive.google.com/file/d/1z3G7EGnkuCW9KvMbaE5f7iVJEpDOZmjd/view?usp=drivesdk","Two Warehouses Supplement.pdf")</f>
        <v>Two Warehouses Supplement.pdf</v>
      </c>
      <c r="B76" s="12" t="str">
        <f t="shared" si="4"/>
        <v>SB Drive/Complete jumps/Supplements</v>
      </c>
    </row>
    <row r="77">
      <c r="A77" s="12" t="str">
        <f>HYPERLINK("https://drive.google.com/file/d/1u2szJsmjD_5LdJlJ6_95CYxh3PIjSUJ2/view?usp=drivesdk","Glossary of Terms for Jumpchain.pdf")</f>
        <v>Glossary of Terms for Jumpchain.pdf</v>
      </c>
      <c r="B77" s="12" t="str">
        <f t="shared" si="4"/>
        <v>SB Drive/Complete jumps/Supplements</v>
      </c>
    </row>
    <row r="78">
      <c r="A78" s="12" t="str">
        <f>HYPERLINK("https://drive.google.com/file/d/1Uoo5MVCbH3ipp28k3SxhkhE-KV7BfBwp/view?usp=drivesdk","Crazy Confectioneries Market Supplement.pdf")</f>
        <v>Crazy Confectioneries Market Supplement.pdf</v>
      </c>
      <c r="B78" s="12" t="str">
        <f t="shared" si="4"/>
        <v>SB Drive/Complete jumps/Supplements</v>
      </c>
    </row>
    <row r="79">
      <c r="A79" s="12" t="str">
        <f>HYPERLINK("https://drive.google.com/file/d/1xE88D56qgm1-mEekuH99TuIUZTHbCv34/view?usp=drivesdk","Body Mod Supplement.pdf")</f>
        <v>Body Mod Supplement.pdf</v>
      </c>
      <c r="B79" s="12" t="str">
        <f t="shared" si="4"/>
        <v>SB Drive/Complete jumps/Supplements</v>
      </c>
    </row>
    <row r="80">
      <c r="A80" s="12" t="str">
        <f>HYPERLINK("https://drive.google.com/file/d/0By8NY-NO4-N5TjFHcmJUd01uVWM/view?usp=drivesdk&amp;resourcekey=0-bxix-Zos1FEbOda4GPWkGg","Fairy Tail Supplement.pdf")</f>
        <v>Fairy Tail Supplement.pdf</v>
      </c>
      <c r="B80" s="12" t="str">
        <f t="shared" si="4"/>
        <v>SB Drive/Complete jumps/Supplements</v>
      </c>
    </row>
  </sheetData>
  <drawing r:id="rId1"/>
</worksheet>
</file>